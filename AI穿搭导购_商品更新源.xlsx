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商品主数据" sheetId="1" r:id="rId3"/>
    <sheet name="更新说明" sheetId="2" r:id="rId4"/>
    <sheet name="字段字典" sheetId="3" r:id="rId5"/>
  </sheets>
  <calcPr calcId="124519" fullCalcOnLoad="1"/>
</workbook>
</file>

<file path=xl/sharedStrings.xml><?xml version="1.0" encoding="utf-8"?>
<sst xmlns="http://schemas.openxmlformats.org/spreadsheetml/2006/main" count="430" uniqueCount="430">
  <si>
    <t/>
  </si>
  <si>
    <t>序号</t>
  </si>
  <si>
    <t>商品ID</t>
  </si>
  <si>
    <t>商品名称</t>
  </si>
  <si>
    <t>品类</t>
  </si>
  <si>
    <t>子品类</t>
  </si>
  <si>
    <t>风格标签</t>
  </si>
  <si>
    <t>场景标签</t>
  </si>
  <si>
    <t>颜色</t>
  </si>
  <si>
    <t>版型</t>
  </si>
  <si>
    <t>显瘦标签</t>
  </si>
  <si>
    <t>尺码范围</t>
  </si>
  <si>
    <t>建议身高</t>
  </si>
  <si>
    <t>当前价</t>
  </si>
  <si>
    <t>库存</t>
  </si>
  <si>
    <t>上架状态</t>
  </si>
  <si>
    <t>可推荐</t>
  </si>
  <si>
    <t>图片URL</t>
  </si>
  <si>
    <t>数据来源</t>
  </si>
  <si>
    <t>更新时间</t>
  </si>
  <si>
    <t>更新备注</t>
  </si>
  <si>
    <t>WD-001</t>
  </si>
  <si>
    <t>醋酸通勤衬衫</t>
  </si>
  <si>
    <t>上装</t>
  </si>
  <si>
    <t>衬衫</t>
  </si>
  <si>
    <t>简约、通勤</t>
  </si>
  <si>
    <t>通勤、日常</t>
  </si>
  <si>
    <t>米白</t>
  </si>
  <si>
    <t>微宽松</t>
  </si>
  <si>
    <t>显瘦</t>
  </si>
  <si>
    <t>S、M、L</t>
  </si>
  <si>
    <t>155-165cm</t>
  </si>
  <si>
    <t>在售</t>
  </si>
  <si>
    <t>https://example.com/products/WD-001.jpg</t>
  </si>
  <si>
    <t>模拟商品库</t>
  </si>
  <si>
    <t>2026-08-27T08:03:00.000Z</t>
  </si>
  <si>
    <t>首批初始化</t>
  </si>
  <si>
    <t>WD-002</t>
  </si>
  <si>
    <t>微廓西装外套</t>
  </si>
  <si>
    <t>西装外套</t>
  </si>
  <si>
    <t>法式、通勤</t>
  </si>
  <si>
    <t>约会、日常</t>
  </si>
  <si>
    <t>黑色</t>
  </si>
  <si>
    <t>修身</t>
  </si>
  <si>
    <t>M、L、XL</t>
  </si>
  <si>
    <t>158-168cm</t>
  </si>
  <si>
    <t>https://example.com/products/WD-002.jpg</t>
  </si>
  <si>
    <t>2026-08-27T08:06:00.000Z</t>
  </si>
  <si>
    <t>WD-003</t>
  </si>
  <si>
    <t>轻薄针织开衫</t>
  </si>
  <si>
    <t>针织衫</t>
  </si>
  <si>
    <t>简约、休闲</t>
  </si>
  <si>
    <t>旅行、日常</t>
  </si>
  <si>
    <t>深灰</t>
  </si>
  <si>
    <t>直筒</t>
  </si>
  <si>
    <t>S、M</t>
  </si>
  <si>
    <t>160-170cm</t>
  </si>
  <si>
    <t>https://example.com/products/WD-003.jpg</t>
  </si>
  <si>
    <t>2026-08-27T08:09:00.000Z</t>
  </si>
  <si>
    <t>WD-004</t>
  </si>
  <si>
    <t>基础圆领针织衫</t>
  </si>
  <si>
    <t>运动、休闲</t>
  </si>
  <si>
    <t>面试、通勤</t>
  </si>
  <si>
    <t>藏蓝</t>
  </si>
  <si>
    <t>阔腿</t>
  </si>
  <si>
    <t>M、L</t>
  </si>
  <si>
    <t>165-175cm</t>
  </si>
  <si>
    <t>https://example.com/products/WD-004.jpg</t>
  </si>
  <si>
    <t>2026-08-27T08:12:00.000Z</t>
  </si>
  <si>
    <t>WD-005</t>
  </si>
  <si>
    <t>收腰短款风衣</t>
  </si>
  <si>
    <t>风衣</t>
  </si>
  <si>
    <t>复古、日常</t>
  </si>
  <si>
    <t>日常</t>
  </si>
  <si>
    <t>酒红</t>
  </si>
  <si>
    <t>A字</t>
  </si>
  <si>
    <t>S、M、L、XL</t>
  </si>
  <si>
    <t>https://example.com/products/WD-005.jpg</t>
  </si>
  <si>
    <t>2026-08-27T08:15:00.000Z</t>
  </si>
  <si>
    <t>WD-006</t>
  </si>
  <si>
    <t>宽松牛仔衬衫</t>
  </si>
  <si>
    <t>通勤、简约</t>
  </si>
  <si>
    <t>通勤、旅行</t>
  </si>
  <si>
    <t>卡其</t>
  </si>
  <si>
    <t>高腰</t>
  </si>
  <si>
    <t>https://example.com/products/WD-006.jpg</t>
  </si>
  <si>
    <t>2026-08-27T08:18:00.000Z</t>
  </si>
  <si>
    <t>WD-007</t>
  </si>
  <si>
    <t>垂感长袖衬衫</t>
  </si>
  <si>
    <t>浅蓝</t>
  </si>
  <si>
    <t>https://example.com/products/WD-007.jpg</t>
  </si>
  <si>
    <t>2026-08-27T08:21:00.000Z</t>
  </si>
  <si>
    <t>WD-008</t>
  </si>
  <si>
    <t>短款针织马甲</t>
  </si>
  <si>
    <t>针织马甲</t>
  </si>
  <si>
    <t>咖色</t>
  </si>
  <si>
    <t>https://example.com/products/WD-008.jpg</t>
  </si>
  <si>
    <t>2026-08-27T08:24:00.000Z</t>
  </si>
  <si>
    <t>WD-009</t>
  </si>
  <si>
    <t>通勤小西装</t>
  </si>
  <si>
    <t>https://example.com/products/WD-009.jpg</t>
  </si>
  <si>
    <t>2026-08-27T08:27:00.000Z</t>
  </si>
  <si>
    <t>WD-010</t>
  </si>
  <si>
    <t>简约圆领T恤</t>
  </si>
  <si>
    <t>T恤</t>
  </si>
  <si>
    <t>https://example.com/products/WD-010.jpg</t>
  </si>
  <si>
    <t>2026-08-27T08:30:00.000Z</t>
  </si>
  <si>
    <t>WD-011</t>
  </si>
  <si>
    <t>连帽运动卫衣</t>
  </si>
  <si>
    <t>卫衣</t>
  </si>
  <si>
    <t>https://example.com/products/WD-011.jpg</t>
  </si>
  <si>
    <t>2026-08-27T08:33:00.000Z</t>
  </si>
  <si>
    <t>待补充实拍图</t>
  </si>
  <si>
    <t>WD-012</t>
  </si>
  <si>
    <t>法式方领上衣</t>
  </si>
  <si>
    <t>上衣</t>
  </si>
  <si>
    <t>https://example.com/products/WD-012.jpg</t>
  </si>
  <si>
    <t>2026-08-27T08:02:00.000Z</t>
  </si>
  <si>
    <t>WD-013</t>
  </si>
  <si>
    <t>条纹针织衫</t>
  </si>
  <si>
    <t>https://example.com/products/WD-013.jpg</t>
  </si>
  <si>
    <t>2026-08-27T08:05:00.000Z</t>
  </si>
  <si>
    <t>WD-014</t>
  </si>
  <si>
    <t>宽松纯棉衬衫</t>
  </si>
  <si>
    <t>https://example.com/products/WD-014.jpg</t>
  </si>
  <si>
    <t>2026-08-27T08:08:00.000Z</t>
  </si>
  <si>
    <t>WD-015</t>
  </si>
  <si>
    <t>复古格纹衬衫</t>
  </si>
  <si>
    <t>https://example.com/products/WD-015.jpg</t>
  </si>
  <si>
    <t>2026-08-27T08:11:00.000Z</t>
  </si>
  <si>
    <t>WD-016</t>
  </si>
  <si>
    <t>修身打底衫</t>
  </si>
  <si>
    <t>打底衫</t>
  </si>
  <si>
    <t>https://example.com/products/WD-016.jpg</t>
  </si>
  <si>
    <t>2026-08-27T08:14:00.000Z</t>
  </si>
  <si>
    <t>WD-017</t>
  </si>
  <si>
    <t>无袖通勤背心</t>
  </si>
  <si>
    <t>背心</t>
  </si>
  <si>
    <t>下架</t>
  </si>
  <si>
    <t>https://example.com/products/WD-017.jpg</t>
  </si>
  <si>
    <t>2026-08-27T08:17:00.000Z</t>
  </si>
  <si>
    <t>WD-018</t>
  </si>
  <si>
    <t>休闲牛仔外套</t>
  </si>
  <si>
    <t>牛仔外套</t>
  </si>
  <si>
    <t>https://example.com/products/WD-018.jpg</t>
  </si>
  <si>
    <t>2026-08-27T08:20:00.000Z</t>
  </si>
  <si>
    <t>WD-019</t>
  </si>
  <si>
    <t>高腰阔腿西裤</t>
  </si>
  <si>
    <t>裤装</t>
  </si>
  <si>
    <t>阔腿裤</t>
  </si>
  <si>
    <t>https://example.com/products/WD-019.jpg</t>
  </si>
  <si>
    <t>2026-08-27T08:23:00.000Z</t>
  </si>
  <si>
    <t>WD-020</t>
  </si>
  <si>
    <t>通勤直筒西裤</t>
  </si>
  <si>
    <t>直筒裤</t>
  </si>
  <si>
    <t>https://example.com/products/WD-020.jpg</t>
  </si>
  <si>
    <t>2026-08-27T08:26:00.000Z</t>
  </si>
  <si>
    <t>WD-021</t>
  </si>
  <si>
    <t>复古微喇牛仔裤</t>
  </si>
  <si>
    <t>微喇裤</t>
  </si>
  <si>
    <t>https://example.com/products/WD-021.jpg</t>
  </si>
  <si>
    <t>2026-08-27T08:29:00.000Z</t>
  </si>
  <si>
    <t>WD-022</t>
  </si>
  <si>
    <t>休闲束脚裤</t>
  </si>
  <si>
    <t>束脚裤</t>
  </si>
  <si>
    <t>https://example.com/products/WD-022.jpg</t>
  </si>
  <si>
    <t>2026-08-27T08:32:00.000Z</t>
  </si>
  <si>
    <t>WD-023</t>
  </si>
  <si>
    <t>垂感阔腿裤</t>
  </si>
  <si>
    <t>https://example.com/products/WD-023.jpg</t>
  </si>
  <si>
    <t>2026-08-27T08:01:00.000Z</t>
  </si>
  <si>
    <t>WD-024</t>
  </si>
  <si>
    <t>高腰烟管裤</t>
  </si>
  <si>
    <t>烟管裤</t>
  </si>
  <si>
    <t>https://example.com/products/WD-024.jpg</t>
  </si>
  <si>
    <t>2026-08-27T08:04:00.000Z</t>
  </si>
  <si>
    <t>WD-025</t>
  </si>
  <si>
    <t>直筒牛仔裤</t>
  </si>
  <si>
    <t>https://example.com/products/WD-025.jpg</t>
  </si>
  <si>
    <t>2026-08-27T08:07:00.000Z</t>
  </si>
  <si>
    <t>WD-026</t>
  </si>
  <si>
    <t>运动收口裤</t>
  </si>
  <si>
    <t>运动裤</t>
  </si>
  <si>
    <t>https://example.com/products/WD-026.jpg</t>
  </si>
  <si>
    <t>2026-08-27T08:10:00.000Z</t>
  </si>
  <si>
    <t>WD-027</t>
  </si>
  <si>
    <t>轻薄工装裤</t>
  </si>
  <si>
    <t>工装裤</t>
  </si>
  <si>
    <t>https://example.com/products/WD-027.jpg</t>
  </si>
  <si>
    <t>2026-08-27T08:13:00.000Z</t>
  </si>
  <si>
    <t>WD-028</t>
  </si>
  <si>
    <t>法式九分裤</t>
  </si>
  <si>
    <t>九分裤</t>
  </si>
  <si>
    <t>https://example.com/products/WD-028.jpg</t>
  </si>
  <si>
    <t>2026-08-27T08:16:00.000Z</t>
  </si>
  <si>
    <t>WD-029</t>
  </si>
  <si>
    <t>宽松休闲长裤</t>
  </si>
  <si>
    <t>休闲裤</t>
  </si>
  <si>
    <t>https://example.com/products/WD-029.jpg</t>
  </si>
  <si>
    <t>2026-08-27T08:19:00.000Z</t>
  </si>
  <si>
    <t>WD-030</t>
  </si>
  <si>
    <t>高腰短裤</t>
  </si>
  <si>
    <t>短裤</t>
  </si>
  <si>
    <t>https://example.com/products/WD-030.jpg</t>
  </si>
  <si>
    <t>2026-08-27T08:22:00.000Z</t>
  </si>
  <si>
    <t>WD-031</t>
  </si>
  <si>
    <t>通勤锥形裤</t>
  </si>
  <si>
    <t>锥形裤</t>
  </si>
  <si>
    <t>https://example.com/products/WD-031.jpg</t>
  </si>
  <si>
    <t>2026-08-27T08:25:00.000Z</t>
  </si>
  <si>
    <t>WD-032</t>
  </si>
  <si>
    <t>弹力打底裤</t>
  </si>
  <si>
    <t>打底裤</t>
  </si>
  <si>
    <t>https://example.com/products/WD-032.jpg</t>
  </si>
  <si>
    <t>2026-08-27T08:28:00.000Z</t>
  </si>
  <si>
    <t>WD-033</t>
  </si>
  <si>
    <t>法式A字半身裙</t>
  </si>
  <si>
    <t>半身裙</t>
  </si>
  <si>
    <t>A字裙</t>
  </si>
  <si>
    <t>https://example.com/products/WD-033.jpg</t>
  </si>
  <si>
    <t>2026-08-27T08:31:00.000Z</t>
  </si>
  <si>
    <t>WD-034</t>
  </si>
  <si>
    <t>高腰百褶半身裙</t>
  </si>
  <si>
    <t>百褶裙</t>
  </si>
  <si>
    <t>https://example.com/products/WD-034.jpg</t>
  </si>
  <si>
    <t>2026-08-27T08:00:00.000Z</t>
  </si>
  <si>
    <t>WD-035</t>
  </si>
  <si>
    <t>垂感直筒半身裙</t>
  </si>
  <si>
    <t>直筒裙</t>
  </si>
  <si>
    <t>https://example.com/products/WD-035.jpg</t>
  </si>
  <si>
    <t>WD-036</t>
  </si>
  <si>
    <t>复古格纹半身裙</t>
  </si>
  <si>
    <t>https://example.com/products/WD-036.jpg</t>
  </si>
  <si>
    <t>WD-037</t>
  </si>
  <si>
    <t>通勤铅笔半身裙</t>
  </si>
  <si>
    <t>铅笔裙</t>
  </si>
  <si>
    <t>https://example.com/products/WD-037.jpg</t>
  </si>
  <si>
    <t>WD-038</t>
  </si>
  <si>
    <t>休闲牛仔半身裙</t>
  </si>
  <si>
    <t>牛仔裙</t>
  </si>
  <si>
    <t>https://example.com/products/WD-038.jpg</t>
  </si>
  <si>
    <t>WD-039</t>
  </si>
  <si>
    <t>伞摆中长半身裙</t>
  </si>
  <si>
    <t>伞裙</t>
  </si>
  <si>
    <t>https://example.com/products/WD-039.jpg</t>
  </si>
  <si>
    <t>WD-040</t>
  </si>
  <si>
    <t>缎面半身裙</t>
  </si>
  <si>
    <t>https://example.com/products/WD-040.jpg</t>
  </si>
  <si>
    <t>WD-041</t>
  </si>
  <si>
    <t>针织包臀半身裙</t>
  </si>
  <si>
    <t>针织裙</t>
  </si>
  <si>
    <t>https://example.com/products/WD-041.jpg</t>
  </si>
  <si>
    <t>WD-042</t>
  </si>
  <si>
    <t>不规则A字半身裙</t>
  </si>
  <si>
    <t>https://example.com/products/WD-042.jpg</t>
  </si>
  <si>
    <t>WD-043</t>
  </si>
  <si>
    <t>法式收腰连衣裙</t>
  </si>
  <si>
    <t>连衣裙</t>
  </si>
  <si>
    <t>衬衫裙</t>
  </si>
  <si>
    <t>https://example.com/products/WD-043.jpg</t>
  </si>
  <si>
    <t>WD-044</t>
  </si>
  <si>
    <t>通勤直筒连衣裙</t>
  </si>
  <si>
    <t>https://example.com/products/WD-044.jpg</t>
  </si>
  <si>
    <t>WD-045</t>
  </si>
  <si>
    <t>碎花茶歇连衣裙</t>
  </si>
  <si>
    <t>茶歇裙</t>
  </si>
  <si>
    <t>https://example.com/products/WD-045.jpg</t>
  </si>
  <si>
    <t>WD-046</t>
  </si>
  <si>
    <t>针织修身连衣裙</t>
  </si>
  <si>
    <t>https://example.com/products/WD-046.jpg</t>
  </si>
  <si>
    <t>WD-047</t>
  </si>
  <si>
    <t>无袖A字连衣裙</t>
  </si>
  <si>
    <t>https://example.com/products/WD-047.jpg</t>
  </si>
  <si>
    <t>WD-048</t>
  </si>
  <si>
    <t>简约吊带连衣裙</t>
  </si>
  <si>
    <t>吊带裙</t>
  </si>
  <si>
    <t>https://example.com/products/WD-048.jpg</t>
  </si>
  <si>
    <t>WD-049</t>
  </si>
  <si>
    <t>复古方领连衣裙</t>
  </si>
  <si>
    <t>方领裙</t>
  </si>
  <si>
    <t>https://example.com/products/WD-049.jpg</t>
  </si>
  <si>
    <t>WD-050</t>
  </si>
  <si>
    <t>休闲卫衣连衣裙</t>
  </si>
  <si>
    <t>卫衣裙</t>
  </si>
  <si>
    <t>https://example.com/products/WD-050.jpg</t>
  </si>
  <si>
    <t>WD-051</t>
  </si>
  <si>
    <t>垂感裹身连衣裙</t>
  </si>
  <si>
    <t>裹身裙</t>
  </si>
  <si>
    <t>常规</t>
  </si>
  <si>
    <t>https://example.com/products/WD-051.jpg</t>
  </si>
  <si>
    <t>WD-052</t>
  </si>
  <si>
    <t>通勤西装连衣裙</t>
  </si>
  <si>
    <t>西装裙</t>
  </si>
  <si>
    <t>https://example.com/products/WD-052.jpg</t>
  </si>
  <si>
    <t>WD-053</t>
  </si>
  <si>
    <t>简约乐福鞋</t>
  </si>
  <si>
    <t>鞋履</t>
  </si>
  <si>
    <t>乐福鞋</t>
  </si>
  <si>
    <t>https://example.com/products/WD-053.jpg</t>
  </si>
  <si>
    <t>WD-054</t>
  </si>
  <si>
    <t>尖头通勤单鞋</t>
  </si>
  <si>
    <t>单鞋</t>
  </si>
  <si>
    <t>https://example.com/products/WD-054.jpg</t>
  </si>
  <si>
    <t>WD-055</t>
  </si>
  <si>
    <t>复古玛丽珍鞋</t>
  </si>
  <si>
    <t>玛丽珍鞋</t>
  </si>
  <si>
    <t>https://example.com/products/WD-055.jpg</t>
  </si>
  <si>
    <t>WD-056</t>
  </si>
  <si>
    <t>轻量运动鞋</t>
  </si>
  <si>
    <t>运动鞋</t>
  </si>
  <si>
    <t>https://example.com/products/WD-056.jpg</t>
  </si>
  <si>
    <t>WD-057</t>
  </si>
  <si>
    <t>休闲帆布鞋</t>
  </si>
  <si>
    <t>帆布鞋</t>
  </si>
  <si>
    <t>https://example.com/products/WD-057.jpg</t>
  </si>
  <si>
    <t>WD-058</t>
  </si>
  <si>
    <t>细跟凉鞋</t>
  </si>
  <si>
    <t>凉鞋</t>
  </si>
  <si>
    <t>https://example.com/products/WD-058.jpg</t>
  </si>
  <si>
    <t>WD-059</t>
  </si>
  <si>
    <t>短筒踝靴</t>
  </si>
  <si>
    <t>短靴</t>
  </si>
  <si>
    <t>https://example.com/products/WD-059.jpg</t>
  </si>
  <si>
    <t>WD-060</t>
  </si>
  <si>
    <t>方头芭蕾鞋</t>
  </si>
  <si>
    <t>芭蕾鞋</t>
  </si>
  <si>
    <t>https://example.com/products/WD-060.jpg</t>
  </si>
  <si>
    <t>WD-061</t>
  </si>
  <si>
    <t>厚底休闲鞋</t>
  </si>
  <si>
    <t>休闲鞋</t>
  </si>
  <si>
    <t>https://example.com/products/WD-061.jpg</t>
  </si>
  <si>
    <t>WD-062</t>
  </si>
  <si>
    <t>低跟穆勒鞋</t>
  </si>
  <si>
    <t>穆勒鞋</t>
  </si>
  <si>
    <t>https://example.com/products/WD-062.jpg</t>
  </si>
  <si>
    <t>WD-063</t>
  </si>
  <si>
    <t>简约珍珠耳饰</t>
  </si>
  <si>
    <t>配饰</t>
  </si>
  <si>
    <t>耳饰</t>
  </si>
  <si>
    <t>https://example.com/products/WD-063.jpg</t>
  </si>
  <si>
    <t>WD-064</t>
  </si>
  <si>
    <t>通勤链条项链</t>
  </si>
  <si>
    <t>项链</t>
  </si>
  <si>
    <t>https://example.com/products/WD-064.jpg</t>
  </si>
  <si>
    <t>WD-065</t>
  </si>
  <si>
    <t>复古金属手链</t>
  </si>
  <si>
    <t>手链</t>
  </si>
  <si>
    <t>https://example.com/products/WD-065.jpg</t>
  </si>
  <si>
    <t>WD-066</t>
  </si>
  <si>
    <t>法式丝巾</t>
  </si>
  <si>
    <t>丝巾</t>
  </si>
  <si>
    <t>https://example.com/products/WD-066.jpg</t>
  </si>
  <si>
    <t>WD-067</t>
  </si>
  <si>
    <t>通勤托特包</t>
  </si>
  <si>
    <t>包袋</t>
  </si>
  <si>
    <t>https://example.com/products/WD-067.jpg</t>
  </si>
  <si>
    <t>WD-068</t>
  </si>
  <si>
    <t>简约皮质腰带</t>
  </si>
  <si>
    <t>腰带</t>
  </si>
  <si>
    <t>https://example.com/products/WD-068.jpg</t>
  </si>
  <si>
    <t>WD-069</t>
  </si>
  <si>
    <t>运动棒球帽</t>
  </si>
  <si>
    <t>帽子</t>
  </si>
  <si>
    <t>https://example.com/products/WD-069.jpg</t>
  </si>
  <si>
    <t>WD-070</t>
  </si>
  <si>
    <t>小巧斜挎包</t>
  </si>
  <si>
    <t>https://example.com/products/WD-070.jpg</t>
  </si>
  <si>
    <t>步骤</t>
  </si>
  <si>
    <t>操作项</t>
  </si>
  <si>
    <t>填写要求</t>
  </si>
  <si>
    <t>发布前校验</t>
  </si>
  <si>
    <t>新增商品</t>
  </si>
  <si>
    <t>填写商品ID、名称、品类、风格、场景、尺码、当前价、库存、上架状态和更新时间；商品ID不得重复。</t>
  </si>
  <si>
    <t>确认库存为正且上架状态为“在售”，否则“可推荐”将返回“否”。</t>
  </si>
  <si>
    <t>修改价格库存</t>
  </si>
  <si>
    <t>仅更新当前价、库存和更新时间；价格填数值，库存填0或正整数。</t>
  </si>
  <si>
    <t>核对货币格式与库存数字格式，避免预算筛选或可推荐判断偏差。</t>
  </si>
  <si>
    <t>下架商品</t>
  </si>
  <si>
    <t>将上架状态改为“下架”，保留商品历史记录，不删除商品ID。</t>
  </si>
  <si>
    <t>下架商品不得被Agent推荐；确认可推荐字段自动显示“否”。</t>
  </si>
  <si>
    <t>补图</t>
  </si>
  <si>
    <t>在图片URL中填入可访问的商品图片地址；暂缺时可保留示例地址。</t>
  </si>
  <si>
    <t>图片链接应与商品ID对应，避免推荐页显示错图。</t>
  </si>
  <si>
    <t>发布前检查</t>
  </si>
  <si>
    <t>筛选检查必填字段、价格、库存、状态和更新时间，并补充更新备注。</t>
  </si>
  <si>
    <t>确认无重复商品ID、无异常公式，且在售商品库存满足推荐条件。</t>
  </si>
  <si>
    <t>字段名</t>
  </si>
  <si>
    <t>字段用途</t>
  </si>
  <si>
    <t>填写规范</t>
  </si>
  <si>
    <t>是否必填</t>
  </si>
  <si>
    <t>商品唯一检索键，用于图片及后续更新关联。</t>
  </si>
  <si>
    <t>格式为WD-001至WD-070；不得重复。</t>
  </si>
  <si>
    <t>是</t>
  </si>
  <si>
    <t>展示商品核心款式，供Agent解释推荐。</t>
  </si>
  <si>
    <t>填写中文款式名称，不使用真实品牌名。</t>
  </si>
  <si>
    <t>支持一级分类筛选。</t>
  </si>
  <si>
    <t>仅填：上装、裤装、半身裙、连衣裙、鞋履、配饰。</t>
  </si>
  <si>
    <t>细化商品款式与搭配检索。</t>
  </si>
  <si>
    <t>填写与品类匹配的子品类，例如衬衫、阔腿裤、乐福鞋。</t>
  </si>
  <si>
    <t>否</t>
  </si>
  <si>
    <t>匹配用户偏好的穿搭风格。</t>
  </si>
  <si>
    <t>从简约、法式、通勤、运动、休闲、复古中选择，可用“、”组合。</t>
  </si>
  <si>
    <t>匹配用户使用场景。</t>
  </si>
  <si>
    <t>从通勤、约会、旅行、面试、日常中选择，可用“、”组合。</t>
  </si>
  <si>
    <t>支持色彩偏好筛选。</t>
  </si>
  <si>
    <t>填写常见服饰颜色，如米白、黑色、深灰、藏蓝、酒红、卡其。</t>
  </si>
  <si>
    <t>帮助解释商品轮廓与搭配。</t>
  </si>
  <si>
    <t>仅填：修身、微宽松、宽松、直筒、阔腿、A字、高腰。</t>
  </si>
  <si>
    <t>作为推荐辅助标签，不作身体评价。</t>
  </si>
  <si>
    <t>仅填：显瘦或常规。</t>
  </si>
  <si>
    <t>判断可售尺码覆盖。</t>
  </si>
  <si>
    <t>从S、M、L、XL中选连续尺码，使用“、”分隔。</t>
  </si>
  <si>
    <t>提供非医学化的穿着长度参考。</t>
  </si>
  <si>
    <t>填写如155-165cm的范围文本。</t>
  </si>
  <si>
    <t>支持预算筛选与价格展示。</t>
  </si>
  <si>
    <t>填写59至499之间的数值，使用货币格式。</t>
  </si>
  <si>
    <t>判断是否具备推荐条件。</t>
  </si>
  <si>
    <t>填写12至180的整数；0表示无货。</t>
  </si>
  <si>
    <t>控制商品是否参与推荐。</t>
  </si>
  <si>
    <t>仅填：在售或下架。</t>
  </si>
  <si>
    <t>由库存和上架状态自动派生。</t>
  </si>
  <si>
    <t>计算列，不手工修改；在售且库存大于0时为“是”。</t>
  </si>
  <si>
    <t>为商品卡片提供图片地址。</t>
  </si>
  <si>
    <t>填写与商品ID对应的https图片URL或示例地址。</t>
  </si>
  <si>
    <t>标记数据来源和可信度。</t>
  </si>
  <si>
    <t>初始统一填写“模拟商品库”。</t>
  </si>
  <si>
    <t>识别数据时效性。</t>
  </si>
  <si>
    <t>填写日期时间，格式YYYY-MM-DD HH:mm。</t>
  </si>
  <si>
    <t>记录补图、初始化等维护事项。</t>
  </si>
  <si>
    <t>填写简短备注；无特殊事项可留空。</t>
  </si>
</sst>
</file>

<file path=xl/styles.xml><?xml version="1.0" encoding="utf-8"?>
<styleSheet xmlns="http://schemas.openxmlformats.org/spreadsheetml/2006/main">
  <numFmts count="3">
    <numFmt numFmtId="300" formatCode="¥#,##0.00"/>
    <numFmt numFmtId="301" formatCode="YYYY-MM-DD HH:mm"/>
    <numFmt numFmtId="302" formatCode="General"/>
  </numFmts>
  <fonts count="9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9C0006"/>
    </font>
    <font>
      <color rgb="FFFFFFFF"/>
    </font>
    <font>
      <b val="1"/>
      <color rgb="FFFFFFFF"/>
    </font>
    <font>
      <color rgb="FF006100"/>
    </font>
    <font>
      <color rgb="FF9C6500"/>
    </font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7A263A"/>
        <bgColor rgb="FF7A263A"/>
      </patternFill>
    </fill>
    <fill>
      <patternFill patternType="solid">
        <fgColor rgb="FFFFF8EF"/>
        <bgColor rgb="FFFFF8EF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/>
    </fill>
  </fills>
  <borders count="3">
    <border>
      <left/>
      <right/>
      <top/>
      <bottom/>
      <diagonal/>
    </border>
    <border>
      <bottom style="thin">
        <color rgb="FF7A263A"/>
      </bottom>
    </border>
    <border>
      <left/>
      <right/>
      <top/>
      <bottom/>
      <diagonal/>
    </border>
  </borders>
  <cellStyleXfs>
    <xf numFmtId="302" fontId="8" fillId="7" borderId="2" xfId="0"/>
  </cellStyleXfs>
  <cellXfs count="1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fontId="3" fillId="2" borderId="0" xfId="0"/>
    <xf fontId="0" fillId="3" borderId="0" xfId="0"/>
    <xf fontId="4" fillId="3" borderId="0" xfId="0"/>
    <xf fontId="5" fillId="3" borderId="0" xfId="0"/>
    <xf fontId="5" fillId="3" borderId="0" xfId="0">
      <alignment horizontal="center"/>
    </xf>
    <xf fontId="5" fillId="3" borderId="1" xfId="0">
      <alignment horizontal="center"/>
    </xf>
    <xf fontId="0" fillId="4" borderId="0" xfId="0"/>
    <xf fontId="0" fillId="4" borderId="0" xfId="0">
      <alignment/>
    </xf>
    <xf numFmtId="300" fontId="0" fillId="4" borderId="0" xfId="0">
      <alignment/>
    </xf>
    <xf numFmtId="1" fontId="0" fillId="4" borderId="0" xfId="0">
      <alignment/>
    </xf>
    <xf numFmtId="301" fontId="0" fillId="4" borderId="0" xfId="0">
      <alignment/>
    </xf>
    <xf fontId="0" fillId="4" borderId="0" xfId="0">
      <alignment wrapText="1"/>
    </xf>
    <xf fontId="6" fillId="5" borderId="0" xfId="0"/>
    <xf fontId="7" fillId="6" borderId="0" xfId="0"/>
  </cellXfs>
  <cellStyles>
    <cellStyle name="Normal" xfId="0" builtinId="0" hidden="0"/>
  </cellStyles>
  <dxfs count="3"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T71"/>
  <sheetViews>
    <sheetView showGridLines="1" workbookViewId="0">
      <pane xSplit="1" ySplit="1" topLeftCell="B2" state="frozen"/>
    </sheetView>
  </sheetViews>
  <sheetFormatPr baseColWidth="8" defaultRowHeight="15"/>
  <cols>
    <col min="1" max="1" width="7.67188" customWidth="1"/>
    <col min="2" max="2" width="10.6719" customWidth="1"/>
    <col min="3" max="3" width="23.6719" customWidth="1"/>
    <col min="4" max="4" width="10.6719" customWidth="1"/>
    <col min="5" max="5" width="12.6719" customWidth="1"/>
    <col min="6" max="7" width="16.6719" customWidth="1"/>
    <col min="8" max="10" width="10.6719" customWidth="1"/>
    <col min="11" max="11" width="14.6719" customWidth="1"/>
    <col min="12" max="12" width="14.6719" customWidth="1"/>
    <col min="13" max="13" width="13.6719" customWidth="1"/>
    <col min="14" max="14" width="8.67188" customWidth="1"/>
    <col min="15" max="16" width="10.6719" customWidth="1"/>
    <col min="17" max="17" width="39.6719" customWidth="1"/>
    <col min="18" max="18" width="12.6719" customWidth="1"/>
    <col min="19" max="19" width="18.6719" customWidth="1"/>
    <col min="20" max="20" width="34.6719" customWidth="1"/>
  </cols>
  <sheetData>
    <row r="1" spans="1:20" ht="21" customHeight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</row>
    <row r="2" spans="1:20">
      <c r="A2" s="11">
        <f>=ROW()-1</f>
        <v>1</v>
      </c>
      <c r="B2" s="11" t="s">
        <v>21</v>
      </c>
      <c r="C2" s="11" t="s">
        <v>22</v>
      </c>
      <c r="D2" s="11" t="s">
        <v>23</v>
      </c>
      <c r="E2" s="11" t="s">
        <v>24</v>
      </c>
      <c r="F2" s="11" t="s">
        <v>25</v>
      </c>
      <c r="G2" s="11" t="s">
        <v>26</v>
      </c>
      <c r="H2" s="11" t="s">
        <v>27</v>
      </c>
      <c r="I2" s="11" t="s">
        <v>28</v>
      </c>
      <c r="J2" s="11" t="s">
        <v>29</v>
      </c>
      <c r="K2" s="11" t="s">
        <v>30</v>
      </c>
      <c r="L2" s="11" t="s">
        <v>31</v>
      </c>
      <c r="M2" s="12">
        <v>59</v>
      </c>
      <c r="N2" s="13">
        <v>12</v>
      </c>
      <c r="O2" s="11" t="s">
        <v>32</v>
      </c>
      <c r="P2" s="11" t="str">
        <f>=IF(AND(N2&gt;0,O2="在售"),"是","否")</f>
        <v>是</v>
      </c>
      <c r="Q2" s="15" t="s">
        <v>33</v>
      </c>
      <c r="R2" s="11" t="s">
        <v>34</v>
      </c>
      <c r="S2" s="14" t="s">
        <v>35</v>
      </c>
      <c r="T2" s="15" t="s">
        <v>36</v>
      </c>
    </row>
    <row r="3" spans="1:20">
      <c r="A3" s="11">
        <f>=ROW()-1</f>
        <v>2</v>
      </c>
      <c r="B3" s="11" t="s">
        <v>37</v>
      </c>
      <c r="C3" s="11" t="s">
        <v>38</v>
      </c>
      <c r="D3" s="11" t="s">
        <v>23</v>
      </c>
      <c r="E3" s="11" t="s">
        <v>39</v>
      </c>
      <c r="F3" s="11" t="s">
        <v>40</v>
      </c>
      <c r="G3" s="11" t="s">
        <v>41</v>
      </c>
      <c r="H3" s="11" t="s">
        <v>42</v>
      </c>
      <c r="I3" s="11" t="s">
        <v>43</v>
      </c>
      <c r="J3" s="11" t="s">
        <v>29</v>
      </c>
      <c r="K3" s="11" t="s">
        <v>44</v>
      </c>
      <c r="L3" s="11" t="s">
        <v>45</v>
      </c>
      <c r="M3" s="12">
        <v>143</v>
      </c>
      <c r="N3" s="13">
        <v>61</v>
      </c>
      <c r="O3" s="11" t="s">
        <v>32</v>
      </c>
      <c r="P3" s="11" t="str">
        <f>=IF(AND(N3&gt;0,O3="在售"),"是","否")</f>
        <v>是</v>
      </c>
      <c r="Q3" s="15" t="s">
        <v>46</v>
      </c>
      <c r="R3" s="11" t="s">
        <v>34</v>
      </c>
      <c r="S3" s="14" t="s">
        <v>47</v>
      </c>
      <c r="T3" s="15" t="s">
        <v>36</v>
      </c>
    </row>
    <row r="4" spans="1:20">
      <c r="A4" s="11">
        <f>=ROW()-1</f>
        <v>3</v>
      </c>
      <c r="B4" s="11" t="s">
        <v>48</v>
      </c>
      <c r="C4" s="11" t="s">
        <v>49</v>
      </c>
      <c r="D4" s="11" t="s">
        <v>23</v>
      </c>
      <c r="E4" s="11" t="s">
        <v>50</v>
      </c>
      <c r="F4" s="11" t="s">
        <v>51</v>
      </c>
      <c r="G4" s="11" t="s">
        <v>52</v>
      </c>
      <c r="H4" s="11" t="s">
        <v>53</v>
      </c>
      <c r="I4" s="11" t="s">
        <v>54</v>
      </c>
      <c r="J4" s="11" t="s">
        <v>29</v>
      </c>
      <c r="K4" s="11" t="s">
        <v>55</v>
      </c>
      <c r="L4" s="11" t="s">
        <v>56</v>
      </c>
      <c r="M4" s="12">
        <v>180</v>
      </c>
      <c r="N4" s="13">
        <v>84</v>
      </c>
      <c r="O4" s="11" t="s">
        <v>32</v>
      </c>
      <c r="P4" s="11" t="str">
        <f>=IF(AND(N4&gt;0,O4="在售"),"是","否")</f>
        <v>是</v>
      </c>
      <c r="Q4" s="15" t="s">
        <v>57</v>
      </c>
      <c r="R4" s="11" t="s">
        <v>34</v>
      </c>
      <c r="S4" s="14" t="s">
        <v>58</v>
      </c>
      <c r="T4" s="15" t="s">
        <v>36</v>
      </c>
    </row>
    <row r="5" spans="1:20">
      <c r="A5" s="11">
        <f>=ROW()-1</f>
        <v>4</v>
      </c>
      <c r="B5" s="11" t="s">
        <v>59</v>
      </c>
      <c r="C5" s="11" t="s">
        <v>60</v>
      </c>
      <c r="D5" s="11" t="s">
        <v>23</v>
      </c>
      <c r="E5" s="11" t="s">
        <v>50</v>
      </c>
      <c r="F5" s="11" t="s">
        <v>61</v>
      </c>
      <c r="G5" s="11" t="s">
        <v>62</v>
      </c>
      <c r="H5" s="11" t="s">
        <v>63</v>
      </c>
      <c r="I5" s="11" t="s">
        <v>64</v>
      </c>
      <c r="J5" s="11" t="s">
        <v>29</v>
      </c>
      <c r="K5" s="11" t="s">
        <v>65</v>
      </c>
      <c r="L5" s="11" t="s">
        <v>66</v>
      </c>
      <c r="M5" s="12">
        <v>217</v>
      </c>
      <c r="N5" s="13">
        <v>107</v>
      </c>
      <c r="O5" s="11" t="s">
        <v>32</v>
      </c>
      <c r="P5" s="11" t="str">
        <f>=IF(AND(N5&gt;0,O5="在售"),"是","否")</f>
        <v>是</v>
      </c>
      <c r="Q5" s="15" t="s">
        <v>67</v>
      </c>
      <c r="R5" s="11" t="s">
        <v>34</v>
      </c>
      <c r="S5" s="14" t="s">
        <v>68</v>
      </c>
      <c r="T5" s="15" t="s">
        <v>36</v>
      </c>
    </row>
    <row r="6" spans="1:20">
      <c r="A6" s="11">
        <f>=ROW()-1</f>
        <v>5</v>
      </c>
      <c r="B6" s="11" t="s">
        <v>69</v>
      </c>
      <c r="C6" s="11" t="s">
        <v>70</v>
      </c>
      <c r="D6" s="11" t="s">
        <v>23</v>
      </c>
      <c r="E6" s="11" t="s">
        <v>71</v>
      </c>
      <c r="F6" s="11" t="s">
        <v>72</v>
      </c>
      <c r="G6" s="11" t="s">
        <v>73</v>
      </c>
      <c r="H6" s="11" t="s">
        <v>74</v>
      </c>
      <c r="I6" s="11" t="s">
        <v>75</v>
      </c>
      <c r="J6" s="11" t="s">
        <v>29</v>
      </c>
      <c r="K6" s="11" t="s">
        <v>76</v>
      </c>
      <c r="L6" s="11" t="s">
        <v>31</v>
      </c>
      <c r="M6" s="12">
        <v>254</v>
      </c>
      <c r="N6" s="13">
        <v>130</v>
      </c>
      <c r="O6" s="11" t="s">
        <v>32</v>
      </c>
      <c r="P6" s="11" t="str">
        <f>=IF(AND(N6&gt;0,O6="在售"),"是","否")</f>
        <v>是</v>
      </c>
      <c r="Q6" s="15" t="s">
        <v>77</v>
      </c>
      <c r="R6" s="11" t="s">
        <v>34</v>
      </c>
      <c r="S6" s="14" t="s">
        <v>78</v>
      </c>
      <c r="T6" s="15" t="s">
        <v>36</v>
      </c>
    </row>
    <row r="7" spans="1:20">
      <c r="A7" s="11">
        <f>=ROW()-1</f>
        <v>6</v>
      </c>
      <c r="B7" s="11" t="s">
        <v>79</v>
      </c>
      <c r="C7" s="11" t="s">
        <v>80</v>
      </c>
      <c r="D7" s="11" t="s">
        <v>23</v>
      </c>
      <c r="E7" s="11" t="s">
        <v>24</v>
      </c>
      <c r="F7" s="11" t="s">
        <v>81</v>
      </c>
      <c r="G7" s="11" t="s">
        <v>82</v>
      </c>
      <c r="H7" s="11" t="s">
        <v>83</v>
      </c>
      <c r="I7" s="11" t="s">
        <v>84</v>
      </c>
      <c r="J7" s="11" t="s">
        <v>29</v>
      </c>
      <c r="K7" s="11" t="s">
        <v>30</v>
      </c>
      <c r="L7" s="11" t="s">
        <v>45</v>
      </c>
      <c r="M7" s="12">
        <v>291</v>
      </c>
      <c r="N7" s="13">
        <v>153</v>
      </c>
      <c r="O7" s="11" t="s">
        <v>32</v>
      </c>
      <c r="P7" s="11" t="str">
        <f>=IF(AND(N7&gt;0,O7="在售"),"是","否")</f>
        <v>是</v>
      </c>
      <c r="Q7" s="15" t="s">
        <v>85</v>
      </c>
      <c r="R7" s="11" t="s">
        <v>34</v>
      </c>
      <c r="S7" s="14" t="s">
        <v>86</v>
      </c>
      <c r="T7" s="15" t="s">
        <v>36</v>
      </c>
    </row>
    <row r="8" spans="1:20">
      <c r="A8" s="11">
        <f>=ROW()-1</f>
        <v>7</v>
      </c>
      <c r="B8" s="11" t="s">
        <v>87</v>
      </c>
      <c r="C8" s="11" t="s">
        <v>88</v>
      </c>
      <c r="D8" s="11" t="s">
        <v>23</v>
      </c>
      <c r="E8" s="11" t="s">
        <v>24</v>
      </c>
      <c r="F8" s="11" t="s">
        <v>25</v>
      </c>
      <c r="G8" s="11" t="s">
        <v>26</v>
      </c>
      <c r="H8" s="11" t="s">
        <v>89</v>
      </c>
      <c r="I8" s="11" t="s">
        <v>28</v>
      </c>
      <c r="J8" s="11" t="s">
        <v>29</v>
      </c>
      <c r="K8" s="11" t="s">
        <v>44</v>
      </c>
      <c r="L8" s="11" t="s">
        <v>56</v>
      </c>
      <c r="M8" s="12">
        <v>328</v>
      </c>
      <c r="N8" s="13">
        <v>16</v>
      </c>
      <c r="O8" s="11" t="s">
        <v>32</v>
      </c>
      <c r="P8" s="11" t="str">
        <f>=IF(AND(N8&gt;0,O8="在售"),"是","否")</f>
        <v>是</v>
      </c>
      <c r="Q8" s="15" t="s">
        <v>90</v>
      </c>
      <c r="R8" s="11" t="s">
        <v>34</v>
      </c>
      <c r="S8" s="14" t="s">
        <v>91</v>
      </c>
      <c r="T8" s="15" t="s">
        <v>36</v>
      </c>
    </row>
    <row r="9" spans="1:20">
      <c r="A9" s="11">
        <f>=ROW()-1</f>
        <v>8</v>
      </c>
      <c r="B9" s="11" t="s">
        <v>92</v>
      </c>
      <c r="C9" s="11" t="s">
        <v>93</v>
      </c>
      <c r="D9" s="11" t="s">
        <v>23</v>
      </c>
      <c r="E9" s="11" t="s">
        <v>94</v>
      </c>
      <c r="F9" s="11" t="s">
        <v>40</v>
      </c>
      <c r="G9" s="11" t="s">
        <v>41</v>
      </c>
      <c r="H9" s="11" t="s">
        <v>95</v>
      </c>
      <c r="I9" s="11" t="s">
        <v>43</v>
      </c>
      <c r="J9" s="11" t="s">
        <v>29</v>
      </c>
      <c r="K9" s="11" t="s">
        <v>55</v>
      </c>
      <c r="L9" s="11" t="s">
        <v>66</v>
      </c>
      <c r="M9" s="12">
        <v>365</v>
      </c>
      <c r="N9" s="13">
        <v>39</v>
      </c>
      <c r="O9" s="11" t="s">
        <v>32</v>
      </c>
      <c r="P9" s="11" t="str">
        <f>=IF(AND(N9&gt;0,O9="在售"),"是","否")</f>
        <v>是</v>
      </c>
      <c r="Q9" s="15" t="s">
        <v>96</v>
      </c>
      <c r="R9" s="11" t="s">
        <v>34</v>
      </c>
      <c r="S9" s="14" t="s">
        <v>97</v>
      </c>
      <c r="T9" s="15" t="s">
        <v>36</v>
      </c>
    </row>
    <row r="10" spans="1:20">
      <c r="A10" s="11">
        <f>=ROW()-1</f>
        <v>9</v>
      </c>
      <c r="B10" s="11" t="s">
        <v>98</v>
      </c>
      <c r="C10" s="11" t="s">
        <v>99</v>
      </c>
      <c r="D10" s="11" t="s">
        <v>23</v>
      </c>
      <c r="E10" s="11" t="s">
        <v>39</v>
      </c>
      <c r="F10" s="11" t="s">
        <v>51</v>
      </c>
      <c r="G10" s="11" t="s">
        <v>52</v>
      </c>
      <c r="H10" s="11" t="s">
        <v>27</v>
      </c>
      <c r="I10" s="11" t="s">
        <v>54</v>
      </c>
      <c r="J10" s="11" t="s">
        <v>29</v>
      </c>
      <c r="K10" s="11" t="s">
        <v>65</v>
      </c>
      <c r="L10" s="11" t="s">
        <v>31</v>
      </c>
      <c r="M10" s="12">
        <v>402</v>
      </c>
      <c r="N10" s="13">
        <v>62</v>
      </c>
      <c r="O10" s="11" t="s">
        <v>32</v>
      </c>
      <c r="P10" s="11" t="str">
        <f>=IF(AND(N10&gt;0,O10="在售"),"是","否")</f>
        <v>是</v>
      </c>
      <c r="Q10" s="15" t="s">
        <v>100</v>
      </c>
      <c r="R10" s="11" t="s">
        <v>34</v>
      </c>
      <c r="S10" s="14" t="s">
        <v>101</v>
      </c>
      <c r="T10" s="15" t="s">
        <v>36</v>
      </c>
    </row>
    <row r="11" spans="1:20">
      <c r="A11" s="11">
        <f>=ROW()-1</f>
        <v>10</v>
      </c>
      <c r="B11" s="11" t="s">
        <v>102</v>
      </c>
      <c r="C11" s="11" t="s">
        <v>103</v>
      </c>
      <c r="D11" s="11" t="s">
        <v>23</v>
      </c>
      <c r="E11" s="11" t="s">
        <v>104</v>
      </c>
      <c r="F11" s="11" t="s">
        <v>61</v>
      </c>
      <c r="G11" s="11" t="s">
        <v>62</v>
      </c>
      <c r="H11" s="11" t="s">
        <v>42</v>
      </c>
      <c r="I11" s="11" t="s">
        <v>64</v>
      </c>
      <c r="J11" s="11" t="s">
        <v>29</v>
      </c>
      <c r="K11" s="11" t="s">
        <v>76</v>
      </c>
      <c r="L11" s="11" t="s">
        <v>45</v>
      </c>
      <c r="M11" s="12">
        <v>439</v>
      </c>
      <c r="N11" s="13">
        <v>85</v>
      </c>
      <c r="O11" s="11" t="s">
        <v>32</v>
      </c>
      <c r="P11" s="11" t="str">
        <f>=IF(AND(N11&gt;0,O11="在售"),"是","否")</f>
        <v>是</v>
      </c>
      <c r="Q11" s="15" t="s">
        <v>105</v>
      </c>
      <c r="R11" s="11" t="s">
        <v>34</v>
      </c>
      <c r="S11" s="14" t="s">
        <v>106</v>
      </c>
      <c r="T11" s="15" t="s">
        <v>36</v>
      </c>
    </row>
    <row r="12" spans="1:20">
      <c r="A12" s="11">
        <f>=ROW()-1</f>
        <v>11</v>
      </c>
      <c r="B12" s="11" t="s">
        <v>107</v>
      </c>
      <c r="C12" s="11" t="s">
        <v>108</v>
      </c>
      <c r="D12" s="11" t="s">
        <v>23</v>
      </c>
      <c r="E12" s="11" t="s">
        <v>109</v>
      </c>
      <c r="F12" s="11" t="s">
        <v>72</v>
      </c>
      <c r="G12" s="11" t="s">
        <v>73</v>
      </c>
      <c r="H12" s="11" t="s">
        <v>53</v>
      </c>
      <c r="I12" s="11" t="s">
        <v>75</v>
      </c>
      <c r="J12" s="11" t="s">
        <v>29</v>
      </c>
      <c r="K12" s="11" t="s">
        <v>30</v>
      </c>
      <c r="L12" s="11" t="s">
        <v>56</v>
      </c>
      <c r="M12" s="12">
        <v>476</v>
      </c>
      <c r="N12" s="13">
        <v>108</v>
      </c>
      <c r="O12" s="11" t="s">
        <v>32</v>
      </c>
      <c r="P12" s="11" t="str">
        <f>=IF(AND(N12&gt;0,O12="在售"),"是","否")</f>
        <v>是</v>
      </c>
      <c r="Q12" s="15" t="s">
        <v>110</v>
      </c>
      <c r="R12" s="11" t="s">
        <v>34</v>
      </c>
      <c r="S12" s="14" t="s">
        <v>111</v>
      </c>
      <c r="T12" s="15" t="s">
        <v>112</v>
      </c>
    </row>
    <row r="13" spans="1:20">
      <c r="A13" s="11">
        <f>=ROW()-1</f>
        <v>12</v>
      </c>
      <c r="B13" s="11" t="s">
        <v>113</v>
      </c>
      <c r="C13" s="11" t="s">
        <v>114</v>
      </c>
      <c r="D13" s="11" t="s">
        <v>23</v>
      </c>
      <c r="E13" s="11" t="s">
        <v>115</v>
      </c>
      <c r="F13" s="11" t="s">
        <v>81</v>
      </c>
      <c r="G13" s="11" t="s">
        <v>82</v>
      </c>
      <c r="H13" s="11" t="s">
        <v>63</v>
      </c>
      <c r="I13" s="11" t="s">
        <v>84</v>
      </c>
      <c r="J13" s="11" t="s">
        <v>29</v>
      </c>
      <c r="K13" s="11" t="s">
        <v>44</v>
      </c>
      <c r="L13" s="11" t="s">
        <v>66</v>
      </c>
      <c r="M13" s="12">
        <v>92</v>
      </c>
      <c r="N13" s="13">
        <v>131</v>
      </c>
      <c r="O13" s="11" t="s">
        <v>32</v>
      </c>
      <c r="P13" s="11" t="str">
        <f>=IF(AND(N13&gt;0,O13="在售"),"是","否")</f>
        <v>是</v>
      </c>
      <c r="Q13" s="15" t="s">
        <v>116</v>
      </c>
      <c r="R13" s="11" t="s">
        <v>34</v>
      </c>
      <c r="S13" s="14" t="s">
        <v>117</v>
      </c>
      <c r="T13" s="15" t="s">
        <v>36</v>
      </c>
    </row>
    <row r="14" spans="1:20">
      <c r="A14" s="11">
        <f>=ROW()-1</f>
        <v>13</v>
      </c>
      <c r="B14" s="11" t="s">
        <v>118</v>
      </c>
      <c r="C14" s="11" t="s">
        <v>119</v>
      </c>
      <c r="D14" s="11" t="s">
        <v>23</v>
      </c>
      <c r="E14" s="11" t="s">
        <v>50</v>
      </c>
      <c r="F14" s="11" t="s">
        <v>25</v>
      </c>
      <c r="G14" s="11" t="s">
        <v>26</v>
      </c>
      <c r="H14" s="11" t="s">
        <v>74</v>
      </c>
      <c r="I14" s="11" t="s">
        <v>28</v>
      </c>
      <c r="J14" s="11" t="s">
        <v>29</v>
      </c>
      <c r="K14" s="11" t="s">
        <v>55</v>
      </c>
      <c r="L14" s="11" t="s">
        <v>31</v>
      </c>
      <c r="M14" s="12">
        <v>129</v>
      </c>
      <c r="N14" s="13">
        <v>154</v>
      </c>
      <c r="O14" s="11" t="s">
        <v>32</v>
      </c>
      <c r="P14" s="11" t="str">
        <f>=IF(AND(N14&gt;0,O14="在售"),"是","否")</f>
        <v>是</v>
      </c>
      <c r="Q14" s="15" t="s">
        <v>120</v>
      </c>
      <c r="R14" s="11" t="s">
        <v>34</v>
      </c>
      <c r="S14" s="14" t="s">
        <v>121</v>
      </c>
      <c r="T14" s="15" t="s">
        <v>36</v>
      </c>
    </row>
    <row r="15" spans="1:20">
      <c r="A15" s="11">
        <f>=ROW()-1</f>
        <v>14</v>
      </c>
      <c r="B15" s="11" t="s">
        <v>122</v>
      </c>
      <c r="C15" s="11" t="s">
        <v>123</v>
      </c>
      <c r="D15" s="11" t="s">
        <v>23</v>
      </c>
      <c r="E15" s="11" t="s">
        <v>24</v>
      </c>
      <c r="F15" s="11" t="s">
        <v>40</v>
      </c>
      <c r="G15" s="11" t="s">
        <v>41</v>
      </c>
      <c r="H15" s="11" t="s">
        <v>83</v>
      </c>
      <c r="I15" s="11" t="s">
        <v>43</v>
      </c>
      <c r="J15" s="11" t="s">
        <v>29</v>
      </c>
      <c r="K15" s="11" t="s">
        <v>65</v>
      </c>
      <c r="L15" s="11" t="s">
        <v>45</v>
      </c>
      <c r="M15" s="12">
        <v>166</v>
      </c>
      <c r="N15" s="13">
        <v>17</v>
      </c>
      <c r="O15" s="11" t="s">
        <v>32</v>
      </c>
      <c r="P15" s="11" t="str">
        <f>=IF(AND(N15&gt;0,O15="在售"),"是","否")</f>
        <v>是</v>
      </c>
      <c r="Q15" s="15" t="s">
        <v>124</v>
      </c>
      <c r="R15" s="11" t="s">
        <v>34</v>
      </c>
      <c r="S15" s="14" t="s">
        <v>125</v>
      </c>
      <c r="T15" s="15" t="s">
        <v>36</v>
      </c>
    </row>
    <row r="16" spans="1:20">
      <c r="A16" s="11">
        <f>=ROW()-1</f>
        <v>15</v>
      </c>
      <c r="B16" s="11" t="s">
        <v>126</v>
      </c>
      <c r="C16" s="11" t="s">
        <v>127</v>
      </c>
      <c r="D16" s="11" t="s">
        <v>23</v>
      </c>
      <c r="E16" s="11" t="s">
        <v>24</v>
      </c>
      <c r="F16" s="11" t="s">
        <v>51</v>
      </c>
      <c r="G16" s="11" t="s">
        <v>52</v>
      </c>
      <c r="H16" s="11" t="s">
        <v>89</v>
      </c>
      <c r="I16" s="11" t="s">
        <v>54</v>
      </c>
      <c r="J16" s="11" t="s">
        <v>29</v>
      </c>
      <c r="K16" s="11" t="s">
        <v>76</v>
      </c>
      <c r="L16" s="11" t="s">
        <v>56</v>
      </c>
      <c r="M16" s="12">
        <v>203</v>
      </c>
      <c r="N16" s="13">
        <v>40</v>
      </c>
      <c r="O16" s="11" t="s">
        <v>32</v>
      </c>
      <c r="P16" s="11" t="str">
        <f>=IF(AND(N16&gt;0,O16="在售"),"是","否")</f>
        <v>是</v>
      </c>
      <c r="Q16" s="15" t="s">
        <v>128</v>
      </c>
      <c r="R16" s="11" t="s">
        <v>34</v>
      </c>
      <c r="S16" s="14" t="s">
        <v>129</v>
      </c>
      <c r="T16" s="15" t="s">
        <v>36</v>
      </c>
    </row>
    <row r="17" spans="1:20">
      <c r="A17" s="11">
        <f>=ROW()-1</f>
        <v>16</v>
      </c>
      <c r="B17" s="11" t="s">
        <v>130</v>
      </c>
      <c r="C17" s="11" t="s">
        <v>131</v>
      </c>
      <c r="D17" s="11" t="s">
        <v>23</v>
      </c>
      <c r="E17" s="11" t="s">
        <v>132</v>
      </c>
      <c r="F17" s="11" t="s">
        <v>61</v>
      </c>
      <c r="G17" s="11" t="s">
        <v>62</v>
      </c>
      <c r="H17" s="11" t="s">
        <v>95</v>
      </c>
      <c r="I17" s="11" t="s">
        <v>64</v>
      </c>
      <c r="J17" s="11" t="s">
        <v>29</v>
      </c>
      <c r="K17" s="11" t="s">
        <v>30</v>
      </c>
      <c r="L17" s="11" t="s">
        <v>66</v>
      </c>
      <c r="M17" s="12">
        <v>240</v>
      </c>
      <c r="N17" s="13">
        <v>63</v>
      </c>
      <c r="O17" s="11" t="s">
        <v>32</v>
      </c>
      <c r="P17" s="11" t="str">
        <f>=IF(AND(N17&gt;0,O17="在售"),"是","否")</f>
        <v>是</v>
      </c>
      <c r="Q17" s="15" t="s">
        <v>133</v>
      </c>
      <c r="R17" s="11" t="s">
        <v>34</v>
      </c>
      <c r="S17" s="14" t="s">
        <v>134</v>
      </c>
      <c r="T17" s="15" t="s">
        <v>36</v>
      </c>
    </row>
    <row r="18" spans="1:20">
      <c r="A18" s="11">
        <f>=ROW()-1</f>
        <v>17</v>
      </c>
      <c r="B18" s="11" t="s">
        <v>135</v>
      </c>
      <c r="C18" s="11" t="s">
        <v>136</v>
      </c>
      <c r="D18" s="11" t="s">
        <v>23</v>
      </c>
      <c r="E18" s="11" t="s">
        <v>137</v>
      </c>
      <c r="F18" s="11" t="s">
        <v>72</v>
      </c>
      <c r="G18" s="11" t="s">
        <v>73</v>
      </c>
      <c r="H18" s="11" t="s">
        <v>27</v>
      </c>
      <c r="I18" s="11" t="s">
        <v>75</v>
      </c>
      <c r="J18" s="11" t="s">
        <v>29</v>
      </c>
      <c r="K18" s="11" t="s">
        <v>44</v>
      </c>
      <c r="L18" s="11" t="s">
        <v>31</v>
      </c>
      <c r="M18" s="12">
        <v>277</v>
      </c>
      <c r="N18" s="13">
        <v>86</v>
      </c>
      <c r="O18" s="11" t="s">
        <v>138</v>
      </c>
      <c r="P18" s="11" t="str">
        <f>=IF(AND(N18&gt;0,O18="在售"),"是","否")</f>
        <v>否</v>
      </c>
      <c r="Q18" s="15" t="s">
        <v>139</v>
      </c>
      <c r="R18" s="11" t="s">
        <v>34</v>
      </c>
      <c r="S18" s="14" t="s">
        <v>140</v>
      </c>
      <c r="T18" s="15" t="s">
        <v>36</v>
      </c>
    </row>
    <row r="19" spans="1:20">
      <c r="A19" s="11">
        <f>=ROW()-1</f>
        <v>18</v>
      </c>
      <c r="B19" s="11" t="s">
        <v>141</v>
      </c>
      <c r="C19" s="11" t="s">
        <v>142</v>
      </c>
      <c r="D19" s="11" t="s">
        <v>23</v>
      </c>
      <c r="E19" s="11" t="s">
        <v>143</v>
      </c>
      <c r="F19" s="11" t="s">
        <v>81</v>
      </c>
      <c r="G19" s="11" t="s">
        <v>82</v>
      </c>
      <c r="H19" s="11" t="s">
        <v>42</v>
      </c>
      <c r="I19" s="11" t="s">
        <v>84</v>
      </c>
      <c r="J19" s="11" t="s">
        <v>29</v>
      </c>
      <c r="K19" s="11" t="s">
        <v>55</v>
      </c>
      <c r="L19" s="11" t="s">
        <v>45</v>
      </c>
      <c r="M19" s="12">
        <v>314</v>
      </c>
      <c r="N19" s="13">
        <v>109</v>
      </c>
      <c r="O19" s="11" t="s">
        <v>32</v>
      </c>
      <c r="P19" s="11" t="str">
        <f>=IF(AND(N19&gt;0,O19="在售"),"是","否")</f>
        <v>是</v>
      </c>
      <c r="Q19" s="15" t="s">
        <v>144</v>
      </c>
      <c r="R19" s="11" t="s">
        <v>34</v>
      </c>
      <c r="S19" s="14" t="s">
        <v>145</v>
      </c>
      <c r="T19" s="15" t="s">
        <v>36</v>
      </c>
    </row>
    <row r="20" spans="1:20">
      <c r="A20" s="11">
        <f>=ROW()-1</f>
        <v>19</v>
      </c>
      <c r="B20" s="11" t="s">
        <v>146</v>
      </c>
      <c r="C20" s="11" t="s">
        <v>147</v>
      </c>
      <c r="D20" s="11" t="s">
        <v>148</v>
      </c>
      <c r="E20" s="11" t="s">
        <v>149</v>
      </c>
      <c r="F20" s="11" t="s">
        <v>25</v>
      </c>
      <c r="G20" s="11" t="s">
        <v>26</v>
      </c>
      <c r="H20" s="11" t="s">
        <v>53</v>
      </c>
      <c r="I20" s="11" t="s">
        <v>28</v>
      </c>
      <c r="J20" s="11" t="s">
        <v>29</v>
      </c>
      <c r="K20" s="11" t="s">
        <v>65</v>
      </c>
      <c r="L20" s="11" t="s">
        <v>56</v>
      </c>
      <c r="M20" s="12">
        <v>351</v>
      </c>
      <c r="N20" s="13">
        <v>132</v>
      </c>
      <c r="O20" s="11" t="s">
        <v>32</v>
      </c>
      <c r="P20" s="11" t="str">
        <f>=IF(AND(N20&gt;0,O20="在售"),"是","否")</f>
        <v>是</v>
      </c>
      <c r="Q20" s="15" t="s">
        <v>150</v>
      </c>
      <c r="R20" s="11" t="s">
        <v>34</v>
      </c>
      <c r="S20" s="14" t="s">
        <v>151</v>
      </c>
      <c r="T20" s="15" t="s">
        <v>36</v>
      </c>
    </row>
    <row r="21" spans="1:20">
      <c r="A21" s="11">
        <f>=ROW()-1</f>
        <v>20</v>
      </c>
      <c r="B21" s="11" t="s">
        <v>152</v>
      </c>
      <c r="C21" s="11" t="s">
        <v>153</v>
      </c>
      <c r="D21" s="11" t="s">
        <v>148</v>
      </c>
      <c r="E21" s="11" t="s">
        <v>154</v>
      </c>
      <c r="F21" s="11" t="s">
        <v>40</v>
      </c>
      <c r="G21" s="11" t="s">
        <v>41</v>
      </c>
      <c r="H21" s="11" t="s">
        <v>63</v>
      </c>
      <c r="I21" s="11" t="s">
        <v>43</v>
      </c>
      <c r="J21" s="11" t="s">
        <v>29</v>
      </c>
      <c r="K21" s="11" t="s">
        <v>76</v>
      </c>
      <c r="L21" s="11" t="s">
        <v>66</v>
      </c>
      <c r="M21" s="12">
        <v>388</v>
      </c>
      <c r="N21" s="13">
        <v>155</v>
      </c>
      <c r="O21" s="11" t="s">
        <v>32</v>
      </c>
      <c r="P21" s="11" t="str">
        <f>=IF(AND(N21&gt;0,O21="在售"),"是","否")</f>
        <v>是</v>
      </c>
      <c r="Q21" s="15" t="s">
        <v>155</v>
      </c>
      <c r="R21" s="11" t="s">
        <v>34</v>
      </c>
      <c r="S21" s="14" t="s">
        <v>156</v>
      </c>
      <c r="T21" s="15" t="s">
        <v>36</v>
      </c>
    </row>
    <row r="22" spans="1:20">
      <c r="A22" s="11">
        <f>=ROW()-1</f>
        <v>21</v>
      </c>
      <c r="B22" s="11" t="s">
        <v>157</v>
      </c>
      <c r="C22" s="11" t="s">
        <v>158</v>
      </c>
      <c r="D22" s="11" t="s">
        <v>148</v>
      </c>
      <c r="E22" s="11" t="s">
        <v>159</v>
      </c>
      <c r="F22" s="11" t="s">
        <v>51</v>
      </c>
      <c r="G22" s="11" t="s">
        <v>52</v>
      </c>
      <c r="H22" s="11" t="s">
        <v>74</v>
      </c>
      <c r="I22" s="11" t="s">
        <v>54</v>
      </c>
      <c r="J22" s="11" t="s">
        <v>29</v>
      </c>
      <c r="K22" s="11" t="s">
        <v>30</v>
      </c>
      <c r="L22" s="11" t="s">
        <v>31</v>
      </c>
      <c r="M22" s="12">
        <v>425</v>
      </c>
      <c r="N22" s="13">
        <v>18</v>
      </c>
      <c r="O22" s="11" t="s">
        <v>32</v>
      </c>
      <c r="P22" s="11" t="str">
        <f>=IF(AND(N22&gt;0,O22="在售"),"是","否")</f>
        <v>是</v>
      </c>
      <c r="Q22" s="15" t="s">
        <v>160</v>
      </c>
      <c r="R22" s="11" t="s">
        <v>34</v>
      </c>
      <c r="S22" s="14" t="s">
        <v>161</v>
      </c>
      <c r="T22" s="15" t="s">
        <v>36</v>
      </c>
    </row>
    <row r="23" spans="1:20">
      <c r="A23" s="11">
        <f>=ROW()-1</f>
        <v>22</v>
      </c>
      <c r="B23" s="11" t="s">
        <v>162</v>
      </c>
      <c r="C23" s="11" t="s">
        <v>163</v>
      </c>
      <c r="D23" s="11" t="s">
        <v>148</v>
      </c>
      <c r="E23" s="11" t="s">
        <v>164</v>
      </c>
      <c r="F23" s="11" t="s">
        <v>61</v>
      </c>
      <c r="G23" s="11" t="s">
        <v>62</v>
      </c>
      <c r="H23" s="11" t="s">
        <v>83</v>
      </c>
      <c r="I23" s="11" t="s">
        <v>64</v>
      </c>
      <c r="J23" s="11" t="s">
        <v>29</v>
      </c>
      <c r="K23" s="11" t="s">
        <v>44</v>
      </c>
      <c r="L23" s="11" t="s">
        <v>45</v>
      </c>
      <c r="M23" s="12">
        <v>462</v>
      </c>
      <c r="N23" s="13">
        <v>41</v>
      </c>
      <c r="O23" s="11" t="s">
        <v>32</v>
      </c>
      <c r="P23" s="11" t="str">
        <f>=IF(AND(N23&gt;0,O23="在售"),"是","否")</f>
        <v>是</v>
      </c>
      <c r="Q23" s="15" t="s">
        <v>165</v>
      </c>
      <c r="R23" s="11" t="s">
        <v>34</v>
      </c>
      <c r="S23" s="14" t="s">
        <v>166</v>
      </c>
      <c r="T23" s="15" t="s">
        <v>112</v>
      </c>
    </row>
    <row r="24" spans="1:20">
      <c r="A24" s="11">
        <f>=ROW()-1</f>
        <v>23</v>
      </c>
      <c r="B24" s="11" t="s">
        <v>167</v>
      </c>
      <c r="C24" s="11" t="s">
        <v>168</v>
      </c>
      <c r="D24" s="11" t="s">
        <v>148</v>
      </c>
      <c r="E24" s="11" t="s">
        <v>149</v>
      </c>
      <c r="F24" s="11" t="s">
        <v>72</v>
      </c>
      <c r="G24" s="11" t="s">
        <v>73</v>
      </c>
      <c r="H24" s="11" t="s">
        <v>89</v>
      </c>
      <c r="I24" s="11" t="s">
        <v>75</v>
      </c>
      <c r="J24" s="11" t="s">
        <v>29</v>
      </c>
      <c r="K24" s="11" t="s">
        <v>55</v>
      </c>
      <c r="L24" s="11" t="s">
        <v>56</v>
      </c>
      <c r="M24" s="12">
        <v>78</v>
      </c>
      <c r="N24" s="13">
        <v>64</v>
      </c>
      <c r="O24" s="11" t="s">
        <v>32</v>
      </c>
      <c r="P24" s="11" t="str">
        <f>=IF(AND(N24&gt;0,O24="在售"),"是","否")</f>
        <v>是</v>
      </c>
      <c r="Q24" s="15" t="s">
        <v>169</v>
      </c>
      <c r="R24" s="11" t="s">
        <v>34</v>
      </c>
      <c r="S24" s="14" t="s">
        <v>170</v>
      </c>
      <c r="T24" s="15" t="s">
        <v>36</v>
      </c>
    </row>
    <row r="25" spans="1:20">
      <c r="A25" s="11">
        <f>=ROW()-1</f>
        <v>24</v>
      </c>
      <c r="B25" s="11" t="s">
        <v>171</v>
      </c>
      <c r="C25" s="11" t="s">
        <v>172</v>
      </c>
      <c r="D25" s="11" t="s">
        <v>148</v>
      </c>
      <c r="E25" s="11" t="s">
        <v>173</v>
      </c>
      <c r="F25" s="11" t="s">
        <v>81</v>
      </c>
      <c r="G25" s="11" t="s">
        <v>82</v>
      </c>
      <c r="H25" s="11" t="s">
        <v>95</v>
      </c>
      <c r="I25" s="11" t="s">
        <v>84</v>
      </c>
      <c r="J25" s="11" t="s">
        <v>29</v>
      </c>
      <c r="K25" s="11" t="s">
        <v>65</v>
      </c>
      <c r="L25" s="11" t="s">
        <v>66</v>
      </c>
      <c r="M25" s="12">
        <v>115</v>
      </c>
      <c r="N25" s="13">
        <v>87</v>
      </c>
      <c r="O25" s="11" t="s">
        <v>32</v>
      </c>
      <c r="P25" s="11" t="str">
        <f>=IF(AND(N25&gt;0,O25="在售"),"是","否")</f>
        <v>是</v>
      </c>
      <c r="Q25" s="15" t="s">
        <v>174</v>
      </c>
      <c r="R25" s="11" t="s">
        <v>34</v>
      </c>
      <c r="S25" s="14" t="s">
        <v>175</v>
      </c>
      <c r="T25" s="15" t="s">
        <v>36</v>
      </c>
    </row>
    <row r="26" spans="1:20">
      <c r="A26" s="11">
        <f>=ROW()-1</f>
        <v>25</v>
      </c>
      <c r="B26" s="11" t="s">
        <v>176</v>
      </c>
      <c r="C26" s="11" t="s">
        <v>177</v>
      </c>
      <c r="D26" s="11" t="s">
        <v>148</v>
      </c>
      <c r="E26" s="11" t="s">
        <v>154</v>
      </c>
      <c r="F26" s="11" t="s">
        <v>25</v>
      </c>
      <c r="G26" s="11" t="s">
        <v>26</v>
      </c>
      <c r="H26" s="11" t="s">
        <v>27</v>
      </c>
      <c r="I26" s="11" t="s">
        <v>28</v>
      </c>
      <c r="J26" s="11" t="s">
        <v>29</v>
      </c>
      <c r="K26" s="11" t="s">
        <v>76</v>
      </c>
      <c r="L26" s="11" t="s">
        <v>31</v>
      </c>
      <c r="M26" s="12">
        <v>152</v>
      </c>
      <c r="N26" s="13">
        <v>110</v>
      </c>
      <c r="O26" s="11" t="s">
        <v>32</v>
      </c>
      <c r="P26" s="11" t="str">
        <f>=IF(AND(N26&gt;0,O26="在售"),"是","否")</f>
        <v>是</v>
      </c>
      <c r="Q26" s="15" t="s">
        <v>178</v>
      </c>
      <c r="R26" s="11" t="s">
        <v>34</v>
      </c>
      <c r="S26" s="14" t="s">
        <v>179</v>
      </c>
      <c r="T26" s="15" t="s">
        <v>36</v>
      </c>
    </row>
    <row r="27" spans="1:20">
      <c r="A27" s="11">
        <f>=ROW()-1</f>
        <v>26</v>
      </c>
      <c r="B27" s="11" t="s">
        <v>180</v>
      </c>
      <c r="C27" s="11" t="s">
        <v>181</v>
      </c>
      <c r="D27" s="11" t="s">
        <v>148</v>
      </c>
      <c r="E27" s="11" t="s">
        <v>182</v>
      </c>
      <c r="F27" s="11" t="s">
        <v>40</v>
      </c>
      <c r="G27" s="11" t="s">
        <v>41</v>
      </c>
      <c r="H27" s="11" t="s">
        <v>42</v>
      </c>
      <c r="I27" s="11" t="s">
        <v>43</v>
      </c>
      <c r="J27" s="11" t="s">
        <v>29</v>
      </c>
      <c r="K27" s="11" t="s">
        <v>30</v>
      </c>
      <c r="L27" s="11" t="s">
        <v>45</v>
      </c>
      <c r="M27" s="12">
        <v>189</v>
      </c>
      <c r="N27" s="13">
        <v>133</v>
      </c>
      <c r="O27" s="11" t="s">
        <v>32</v>
      </c>
      <c r="P27" s="11" t="str">
        <f>=IF(AND(N27&gt;0,O27="在售"),"是","否")</f>
        <v>是</v>
      </c>
      <c r="Q27" s="15" t="s">
        <v>183</v>
      </c>
      <c r="R27" s="11" t="s">
        <v>34</v>
      </c>
      <c r="S27" s="14" t="s">
        <v>184</v>
      </c>
      <c r="T27" s="15" t="s">
        <v>36</v>
      </c>
    </row>
    <row r="28" spans="1:20">
      <c r="A28" s="11">
        <f>=ROW()-1</f>
        <v>27</v>
      </c>
      <c r="B28" s="11" t="s">
        <v>185</v>
      </c>
      <c r="C28" s="11" t="s">
        <v>186</v>
      </c>
      <c r="D28" s="11" t="s">
        <v>148</v>
      </c>
      <c r="E28" s="11" t="s">
        <v>187</v>
      </c>
      <c r="F28" s="11" t="s">
        <v>51</v>
      </c>
      <c r="G28" s="11" t="s">
        <v>52</v>
      </c>
      <c r="H28" s="11" t="s">
        <v>53</v>
      </c>
      <c r="I28" s="11" t="s">
        <v>54</v>
      </c>
      <c r="J28" s="11" t="s">
        <v>29</v>
      </c>
      <c r="K28" s="11" t="s">
        <v>44</v>
      </c>
      <c r="L28" s="11" t="s">
        <v>56</v>
      </c>
      <c r="M28" s="12">
        <v>226</v>
      </c>
      <c r="N28" s="13">
        <v>156</v>
      </c>
      <c r="O28" s="11" t="s">
        <v>32</v>
      </c>
      <c r="P28" s="11" t="str">
        <f>=IF(AND(N28&gt;0,O28="在售"),"是","否")</f>
        <v>是</v>
      </c>
      <c r="Q28" s="15" t="s">
        <v>188</v>
      </c>
      <c r="R28" s="11" t="s">
        <v>34</v>
      </c>
      <c r="S28" s="14" t="s">
        <v>189</v>
      </c>
      <c r="T28" s="15" t="s">
        <v>36</v>
      </c>
    </row>
    <row r="29" spans="1:20">
      <c r="A29" s="11">
        <f>=ROW()-1</f>
        <v>28</v>
      </c>
      <c r="B29" s="11" t="s">
        <v>190</v>
      </c>
      <c r="C29" s="11" t="s">
        <v>191</v>
      </c>
      <c r="D29" s="11" t="s">
        <v>148</v>
      </c>
      <c r="E29" s="11" t="s">
        <v>192</v>
      </c>
      <c r="F29" s="11" t="s">
        <v>61</v>
      </c>
      <c r="G29" s="11" t="s">
        <v>62</v>
      </c>
      <c r="H29" s="11" t="s">
        <v>63</v>
      </c>
      <c r="I29" s="11" t="s">
        <v>64</v>
      </c>
      <c r="J29" s="11" t="s">
        <v>29</v>
      </c>
      <c r="K29" s="11" t="s">
        <v>55</v>
      </c>
      <c r="L29" s="11" t="s">
        <v>66</v>
      </c>
      <c r="M29" s="12">
        <v>263</v>
      </c>
      <c r="N29" s="13">
        <v>19</v>
      </c>
      <c r="O29" s="11" t="s">
        <v>32</v>
      </c>
      <c r="P29" s="11" t="str">
        <f>=IF(AND(N29&gt;0,O29="在售"),"是","否")</f>
        <v>是</v>
      </c>
      <c r="Q29" s="15" t="s">
        <v>193</v>
      </c>
      <c r="R29" s="11" t="s">
        <v>34</v>
      </c>
      <c r="S29" s="14" t="s">
        <v>194</v>
      </c>
      <c r="T29" s="15" t="s">
        <v>36</v>
      </c>
    </row>
    <row r="30" spans="1:20">
      <c r="A30" s="11">
        <f>=ROW()-1</f>
        <v>29</v>
      </c>
      <c r="B30" s="11" t="s">
        <v>195</v>
      </c>
      <c r="C30" s="11" t="s">
        <v>196</v>
      </c>
      <c r="D30" s="11" t="s">
        <v>148</v>
      </c>
      <c r="E30" s="11" t="s">
        <v>197</v>
      </c>
      <c r="F30" s="11" t="s">
        <v>72</v>
      </c>
      <c r="G30" s="11" t="s">
        <v>73</v>
      </c>
      <c r="H30" s="11" t="s">
        <v>74</v>
      </c>
      <c r="I30" s="11" t="s">
        <v>75</v>
      </c>
      <c r="J30" s="11" t="s">
        <v>29</v>
      </c>
      <c r="K30" s="11" t="s">
        <v>65</v>
      </c>
      <c r="L30" s="11" t="s">
        <v>31</v>
      </c>
      <c r="M30" s="12">
        <v>300</v>
      </c>
      <c r="N30" s="13">
        <v>42</v>
      </c>
      <c r="O30" s="11" t="s">
        <v>32</v>
      </c>
      <c r="P30" s="11" t="str">
        <f>=IF(AND(N30&gt;0,O30="在售"),"是","否")</f>
        <v>是</v>
      </c>
      <c r="Q30" s="15" t="s">
        <v>198</v>
      </c>
      <c r="R30" s="11" t="s">
        <v>34</v>
      </c>
      <c r="S30" s="14" t="s">
        <v>199</v>
      </c>
      <c r="T30" s="15" t="s">
        <v>36</v>
      </c>
    </row>
    <row r="31" spans="1:20">
      <c r="A31" s="11">
        <f>=ROW()-1</f>
        <v>30</v>
      </c>
      <c r="B31" s="11" t="s">
        <v>200</v>
      </c>
      <c r="C31" s="11" t="s">
        <v>201</v>
      </c>
      <c r="D31" s="11" t="s">
        <v>148</v>
      </c>
      <c r="E31" s="11" t="s">
        <v>202</v>
      </c>
      <c r="F31" s="11" t="s">
        <v>81</v>
      </c>
      <c r="G31" s="11" t="s">
        <v>82</v>
      </c>
      <c r="H31" s="11" t="s">
        <v>83</v>
      </c>
      <c r="I31" s="11" t="s">
        <v>84</v>
      </c>
      <c r="J31" s="11" t="s">
        <v>29</v>
      </c>
      <c r="K31" s="11" t="s">
        <v>76</v>
      </c>
      <c r="L31" s="11" t="s">
        <v>45</v>
      </c>
      <c r="M31" s="12">
        <v>337</v>
      </c>
      <c r="N31" s="13">
        <v>65</v>
      </c>
      <c r="O31" s="11" t="s">
        <v>32</v>
      </c>
      <c r="P31" s="11" t="str">
        <f>=IF(AND(N31&gt;0,O31="在售"),"是","否")</f>
        <v>是</v>
      </c>
      <c r="Q31" s="15" t="s">
        <v>203</v>
      </c>
      <c r="R31" s="11" t="s">
        <v>34</v>
      </c>
      <c r="S31" s="14" t="s">
        <v>204</v>
      </c>
      <c r="T31" s="15" t="s">
        <v>36</v>
      </c>
    </row>
    <row r="32" spans="1:20">
      <c r="A32" s="11">
        <f>=ROW()-1</f>
        <v>31</v>
      </c>
      <c r="B32" s="11" t="s">
        <v>205</v>
      </c>
      <c r="C32" s="11" t="s">
        <v>206</v>
      </c>
      <c r="D32" s="11" t="s">
        <v>148</v>
      </c>
      <c r="E32" s="11" t="s">
        <v>207</v>
      </c>
      <c r="F32" s="11" t="s">
        <v>25</v>
      </c>
      <c r="G32" s="11" t="s">
        <v>26</v>
      </c>
      <c r="H32" s="11" t="s">
        <v>89</v>
      </c>
      <c r="I32" s="11" t="s">
        <v>28</v>
      </c>
      <c r="J32" s="11" t="s">
        <v>29</v>
      </c>
      <c r="K32" s="11" t="s">
        <v>30</v>
      </c>
      <c r="L32" s="11" t="s">
        <v>56</v>
      </c>
      <c r="M32" s="12">
        <v>374</v>
      </c>
      <c r="N32" s="13">
        <v>88</v>
      </c>
      <c r="O32" s="11" t="s">
        <v>32</v>
      </c>
      <c r="P32" s="11" t="str">
        <f>=IF(AND(N32&gt;0,O32="在售"),"是","否")</f>
        <v>是</v>
      </c>
      <c r="Q32" s="15" t="s">
        <v>208</v>
      </c>
      <c r="R32" s="11" t="s">
        <v>34</v>
      </c>
      <c r="S32" s="14" t="s">
        <v>209</v>
      </c>
      <c r="T32" s="15" t="s">
        <v>36</v>
      </c>
    </row>
    <row r="33" spans="1:20">
      <c r="A33" s="11">
        <f>=ROW()-1</f>
        <v>32</v>
      </c>
      <c r="B33" s="11" t="s">
        <v>210</v>
      </c>
      <c r="C33" s="11" t="s">
        <v>211</v>
      </c>
      <c r="D33" s="11" t="s">
        <v>148</v>
      </c>
      <c r="E33" s="11" t="s">
        <v>212</v>
      </c>
      <c r="F33" s="11" t="s">
        <v>40</v>
      </c>
      <c r="G33" s="11" t="s">
        <v>41</v>
      </c>
      <c r="H33" s="11" t="s">
        <v>95</v>
      </c>
      <c r="I33" s="11" t="s">
        <v>43</v>
      </c>
      <c r="J33" s="11" t="s">
        <v>29</v>
      </c>
      <c r="K33" s="11" t="s">
        <v>44</v>
      </c>
      <c r="L33" s="11" t="s">
        <v>66</v>
      </c>
      <c r="M33" s="12">
        <v>411</v>
      </c>
      <c r="N33" s="13">
        <v>111</v>
      </c>
      <c r="O33" s="11" t="s">
        <v>32</v>
      </c>
      <c r="P33" s="11" t="str">
        <f>=IF(AND(N33&gt;0,O33="在售"),"是","否")</f>
        <v>是</v>
      </c>
      <c r="Q33" s="15" t="s">
        <v>213</v>
      </c>
      <c r="R33" s="11" t="s">
        <v>34</v>
      </c>
      <c r="S33" s="14" t="s">
        <v>214</v>
      </c>
      <c r="T33" s="15" t="s">
        <v>36</v>
      </c>
    </row>
    <row r="34" spans="1:20">
      <c r="A34" s="11">
        <f>=ROW()-1</f>
        <v>33</v>
      </c>
      <c r="B34" s="11" t="s">
        <v>215</v>
      </c>
      <c r="C34" s="11" t="s">
        <v>216</v>
      </c>
      <c r="D34" s="11" t="s">
        <v>217</v>
      </c>
      <c r="E34" s="11" t="s">
        <v>218</v>
      </c>
      <c r="F34" s="11" t="s">
        <v>51</v>
      </c>
      <c r="G34" s="11" t="s">
        <v>52</v>
      </c>
      <c r="H34" s="11" t="s">
        <v>27</v>
      </c>
      <c r="I34" s="11" t="s">
        <v>54</v>
      </c>
      <c r="J34" s="11" t="s">
        <v>29</v>
      </c>
      <c r="K34" s="11" t="s">
        <v>55</v>
      </c>
      <c r="L34" s="11" t="s">
        <v>31</v>
      </c>
      <c r="M34" s="12">
        <v>448</v>
      </c>
      <c r="N34" s="13">
        <v>134</v>
      </c>
      <c r="O34" s="11" t="s">
        <v>32</v>
      </c>
      <c r="P34" s="11" t="str">
        <f>=IF(AND(N34&gt;0,O34="在售"),"是","否")</f>
        <v>是</v>
      </c>
      <c r="Q34" s="15" t="s">
        <v>219</v>
      </c>
      <c r="R34" s="11" t="s">
        <v>34</v>
      </c>
      <c r="S34" s="14" t="s">
        <v>220</v>
      </c>
      <c r="T34" s="15" t="s">
        <v>112</v>
      </c>
    </row>
    <row r="35" spans="1:20">
      <c r="A35" s="11">
        <f>=ROW()-1</f>
        <v>34</v>
      </c>
      <c r="B35" s="11" t="s">
        <v>221</v>
      </c>
      <c r="C35" s="11" t="s">
        <v>222</v>
      </c>
      <c r="D35" s="11" t="s">
        <v>217</v>
      </c>
      <c r="E35" s="11" t="s">
        <v>223</v>
      </c>
      <c r="F35" s="11" t="s">
        <v>61</v>
      </c>
      <c r="G35" s="11" t="s">
        <v>62</v>
      </c>
      <c r="H35" s="11" t="s">
        <v>42</v>
      </c>
      <c r="I35" s="11" t="s">
        <v>64</v>
      </c>
      <c r="J35" s="11" t="s">
        <v>29</v>
      </c>
      <c r="K35" s="11" t="s">
        <v>65</v>
      </c>
      <c r="L35" s="11" t="s">
        <v>45</v>
      </c>
      <c r="M35" s="12">
        <v>485</v>
      </c>
      <c r="N35" s="13">
        <v>157</v>
      </c>
      <c r="O35" s="11" t="s">
        <v>32</v>
      </c>
      <c r="P35" s="11" t="str">
        <f>=IF(AND(N35&gt;0,O35="在售"),"是","否")</f>
        <v>是</v>
      </c>
      <c r="Q35" s="15" t="s">
        <v>224</v>
      </c>
      <c r="R35" s="11" t="s">
        <v>34</v>
      </c>
      <c r="S35" s="14" t="s">
        <v>225</v>
      </c>
      <c r="T35" s="15" t="s">
        <v>36</v>
      </c>
    </row>
    <row r="36" spans="1:20">
      <c r="A36" s="11">
        <f>=ROW()-1</f>
        <v>35</v>
      </c>
      <c r="B36" s="11" t="s">
        <v>226</v>
      </c>
      <c r="C36" s="11" t="s">
        <v>227</v>
      </c>
      <c r="D36" s="11" t="s">
        <v>217</v>
      </c>
      <c r="E36" s="11" t="s">
        <v>228</v>
      </c>
      <c r="F36" s="11" t="s">
        <v>72</v>
      </c>
      <c r="G36" s="11" t="s">
        <v>73</v>
      </c>
      <c r="H36" s="11" t="s">
        <v>53</v>
      </c>
      <c r="I36" s="11" t="s">
        <v>75</v>
      </c>
      <c r="J36" s="11" t="s">
        <v>29</v>
      </c>
      <c r="K36" s="11" t="s">
        <v>76</v>
      </c>
      <c r="L36" s="11" t="s">
        <v>56</v>
      </c>
      <c r="M36" s="12">
        <v>101</v>
      </c>
      <c r="N36" s="13">
        <v>20</v>
      </c>
      <c r="O36" s="11" t="s">
        <v>138</v>
      </c>
      <c r="P36" s="11" t="str">
        <f>=IF(AND(N36&gt;0,O36="在售"),"是","否")</f>
        <v>否</v>
      </c>
      <c r="Q36" s="15" t="s">
        <v>229</v>
      </c>
      <c r="R36" s="11" t="s">
        <v>34</v>
      </c>
      <c r="S36" s="14" t="s">
        <v>35</v>
      </c>
      <c r="T36" s="15" t="s">
        <v>36</v>
      </c>
    </row>
    <row r="37" spans="1:20">
      <c r="A37" s="11">
        <f>=ROW()-1</f>
        <v>36</v>
      </c>
      <c r="B37" s="11" t="s">
        <v>230</v>
      </c>
      <c r="C37" s="11" t="s">
        <v>231</v>
      </c>
      <c r="D37" s="11" t="s">
        <v>217</v>
      </c>
      <c r="E37" s="11" t="s">
        <v>217</v>
      </c>
      <c r="F37" s="11" t="s">
        <v>81</v>
      </c>
      <c r="G37" s="11" t="s">
        <v>82</v>
      </c>
      <c r="H37" s="11" t="s">
        <v>63</v>
      </c>
      <c r="I37" s="11" t="s">
        <v>84</v>
      </c>
      <c r="J37" s="11" t="s">
        <v>29</v>
      </c>
      <c r="K37" s="11" t="s">
        <v>30</v>
      </c>
      <c r="L37" s="11" t="s">
        <v>66</v>
      </c>
      <c r="M37" s="12">
        <v>138</v>
      </c>
      <c r="N37" s="13">
        <v>43</v>
      </c>
      <c r="O37" s="11" t="s">
        <v>32</v>
      </c>
      <c r="P37" s="11" t="str">
        <f>=IF(AND(N37&gt;0,O37="在售"),"是","否")</f>
        <v>是</v>
      </c>
      <c r="Q37" s="15" t="s">
        <v>232</v>
      </c>
      <c r="R37" s="11" t="s">
        <v>34</v>
      </c>
      <c r="S37" s="14" t="s">
        <v>47</v>
      </c>
      <c r="T37" s="15" t="s">
        <v>36</v>
      </c>
    </row>
    <row r="38" spans="1:20">
      <c r="A38" s="11">
        <f>=ROW()-1</f>
        <v>37</v>
      </c>
      <c r="B38" s="11" t="s">
        <v>233</v>
      </c>
      <c r="C38" s="11" t="s">
        <v>234</v>
      </c>
      <c r="D38" s="11" t="s">
        <v>217</v>
      </c>
      <c r="E38" s="11" t="s">
        <v>235</v>
      </c>
      <c r="F38" s="11" t="s">
        <v>25</v>
      </c>
      <c r="G38" s="11" t="s">
        <v>26</v>
      </c>
      <c r="H38" s="11" t="s">
        <v>74</v>
      </c>
      <c r="I38" s="11" t="s">
        <v>28</v>
      </c>
      <c r="J38" s="11" t="s">
        <v>29</v>
      </c>
      <c r="K38" s="11" t="s">
        <v>44</v>
      </c>
      <c r="L38" s="11" t="s">
        <v>31</v>
      </c>
      <c r="M38" s="12">
        <v>175</v>
      </c>
      <c r="N38" s="13">
        <v>66</v>
      </c>
      <c r="O38" s="11" t="s">
        <v>32</v>
      </c>
      <c r="P38" s="11" t="str">
        <f>=IF(AND(N38&gt;0,O38="在售"),"是","否")</f>
        <v>是</v>
      </c>
      <c r="Q38" s="15" t="s">
        <v>236</v>
      </c>
      <c r="R38" s="11" t="s">
        <v>34</v>
      </c>
      <c r="S38" s="14" t="s">
        <v>58</v>
      </c>
      <c r="T38" s="15" t="s">
        <v>36</v>
      </c>
    </row>
    <row r="39" spans="1:20">
      <c r="A39" s="11">
        <f>=ROW()-1</f>
        <v>38</v>
      </c>
      <c r="B39" s="11" t="s">
        <v>237</v>
      </c>
      <c r="C39" s="11" t="s">
        <v>238</v>
      </c>
      <c r="D39" s="11" t="s">
        <v>217</v>
      </c>
      <c r="E39" s="11" t="s">
        <v>239</v>
      </c>
      <c r="F39" s="11" t="s">
        <v>40</v>
      </c>
      <c r="G39" s="11" t="s">
        <v>41</v>
      </c>
      <c r="H39" s="11" t="s">
        <v>83</v>
      </c>
      <c r="I39" s="11" t="s">
        <v>43</v>
      </c>
      <c r="J39" s="11" t="s">
        <v>29</v>
      </c>
      <c r="K39" s="11" t="s">
        <v>55</v>
      </c>
      <c r="L39" s="11" t="s">
        <v>45</v>
      </c>
      <c r="M39" s="12">
        <v>212</v>
      </c>
      <c r="N39" s="13">
        <v>89</v>
      </c>
      <c r="O39" s="11" t="s">
        <v>32</v>
      </c>
      <c r="P39" s="11" t="str">
        <f>=IF(AND(N39&gt;0,O39="在售"),"是","否")</f>
        <v>是</v>
      </c>
      <c r="Q39" s="15" t="s">
        <v>240</v>
      </c>
      <c r="R39" s="11" t="s">
        <v>34</v>
      </c>
      <c r="S39" s="14" t="s">
        <v>68</v>
      </c>
      <c r="T39" s="15" t="s">
        <v>36</v>
      </c>
    </row>
    <row r="40" spans="1:20">
      <c r="A40" s="11">
        <f>=ROW()-1</f>
        <v>39</v>
      </c>
      <c r="B40" s="11" t="s">
        <v>241</v>
      </c>
      <c r="C40" s="11" t="s">
        <v>242</v>
      </c>
      <c r="D40" s="11" t="s">
        <v>217</v>
      </c>
      <c r="E40" s="11" t="s">
        <v>243</v>
      </c>
      <c r="F40" s="11" t="s">
        <v>51</v>
      </c>
      <c r="G40" s="11" t="s">
        <v>52</v>
      </c>
      <c r="H40" s="11" t="s">
        <v>89</v>
      </c>
      <c r="I40" s="11" t="s">
        <v>54</v>
      </c>
      <c r="J40" s="11" t="s">
        <v>29</v>
      </c>
      <c r="K40" s="11" t="s">
        <v>65</v>
      </c>
      <c r="L40" s="11" t="s">
        <v>56</v>
      </c>
      <c r="M40" s="12">
        <v>249</v>
      </c>
      <c r="N40" s="13">
        <v>112</v>
      </c>
      <c r="O40" s="11" t="s">
        <v>32</v>
      </c>
      <c r="P40" s="11" t="str">
        <f>=IF(AND(N40&gt;0,O40="在售"),"是","否")</f>
        <v>是</v>
      </c>
      <c r="Q40" s="15" t="s">
        <v>244</v>
      </c>
      <c r="R40" s="11" t="s">
        <v>34</v>
      </c>
      <c r="S40" s="14" t="s">
        <v>78</v>
      </c>
      <c r="T40" s="15" t="s">
        <v>36</v>
      </c>
    </row>
    <row r="41" spans="1:20">
      <c r="A41" s="11">
        <f>=ROW()-1</f>
        <v>40</v>
      </c>
      <c r="B41" s="11" t="s">
        <v>245</v>
      </c>
      <c r="C41" s="11" t="s">
        <v>246</v>
      </c>
      <c r="D41" s="11" t="s">
        <v>217</v>
      </c>
      <c r="E41" s="11" t="s">
        <v>217</v>
      </c>
      <c r="F41" s="11" t="s">
        <v>61</v>
      </c>
      <c r="G41" s="11" t="s">
        <v>62</v>
      </c>
      <c r="H41" s="11" t="s">
        <v>95</v>
      </c>
      <c r="I41" s="11" t="s">
        <v>64</v>
      </c>
      <c r="J41" s="11" t="s">
        <v>29</v>
      </c>
      <c r="K41" s="11" t="s">
        <v>76</v>
      </c>
      <c r="L41" s="11" t="s">
        <v>66</v>
      </c>
      <c r="M41" s="12">
        <v>286</v>
      </c>
      <c r="N41" s="13">
        <v>135</v>
      </c>
      <c r="O41" s="11" t="s">
        <v>32</v>
      </c>
      <c r="P41" s="11" t="str">
        <f>=IF(AND(N41&gt;0,O41="在售"),"是","否")</f>
        <v>是</v>
      </c>
      <c r="Q41" s="15" t="s">
        <v>247</v>
      </c>
      <c r="R41" s="11" t="s">
        <v>34</v>
      </c>
      <c r="S41" s="14" t="s">
        <v>86</v>
      </c>
      <c r="T41" s="15" t="s">
        <v>36</v>
      </c>
    </row>
    <row r="42" spans="1:20">
      <c r="A42" s="11">
        <f>=ROW()-1</f>
        <v>41</v>
      </c>
      <c r="B42" s="11" t="s">
        <v>248</v>
      </c>
      <c r="C42" s="11" t="s">
        <v>249</v>
      </c>
      <c r="D42" s="11" t="s">
        <v>217</v>
      </c>
      <c r="E42" s="11" t="s">
        <v>250</v>
      </c>
      <c r="F42" s="11" t="s">
        <v>72</v>
      </c>
      <c r="G42" s="11" t="s">
        <v>73</v>
      </c>
      <c r="H42" s="11" t="s">
        <v>27</v>
      </c>
      <c r="I42" s="11" t="s">
        <v>75</v>
      </c>
      <c r="J42" s="11" t="s">
        <v>29</v>
      </c>
      <c r="K42" s="11" t="s">
        <v>30</v>
      </c>
      <c r="L42" s="11" t="s">
        <v>31</v>
      </c>
      <c r="M42" s="12">
        <v>323</v>
      </c>
      <c r="N42" s="13">
        <v>158</v>
      </c>
      <c r="O42" s="11" t="s">
        <v>32</v>
      </c>
      <c r="P42" s="11" t="str">
        <f>=IF(AND(N42&gt;0,O42="在售"),"是","否")</f>
        <v>是</v>
      </c>
      <c r="Q42" s="15" t="s">
        <v>251</v>
      </c>
      <c r="R42" s="11" t="s">
        <v>34</v>
      </c>
      <c r="S42" s="14" t="s">
        <v>91</v>
      </c>
      <c r="T42" s="15" t="s">
        <v>36</v>
      </c>
    </row>
    <row r="43" spans="1:20">
      <c r="A43" s="11">
        <f>=ROW()-1</f>
        <v>42</v>
      </c>
      <c r="B43" s="11" t="s">
        <v>252</v>
      </c>
      <c r="C43" s="11" t="s">
        <v>253</v>
      </c>
      <c r="D43" s="11" t="s">
        <v>217</v>
      </c>
      <c r="E43" s="11" t="s">
        <v>218</v>
      </c>
      <c r="F43" s="11" t="s">
        <v>81</v>
      </c>
      <c r="G43" s="11" t="s">
        <v>82</v>
      </c>
      <c r="H43" s="11" t="s">
        <v>42</v>
      </c>
      <c r="I43" s="11" t="s">
        <v>84</v>
      </c>
      <c r="J43" s="11" t="s">
        <v>29</v>
      </c>
      <c r="K43" s="11" t="s">
        <v>44</v>
      </c>
      <c r="L43" s="11" t="s">
        <v>45</v>
      </c>
      <c r="M43" s="12">
        <v>360</v>
      </c>
      <c r="N43" s="13">
        <v>21</v>
      </c>
      <c r="O43" s="11" t="s">
        <v>32</v>
      </c>
      <c r="P43" s="11" t="str">
        <f>=IF(AND(N43&gt;0,O43="在售"),"是","否")</f>
        <v>是</v>
      </c>
      <c r="Q43" s="15" t="s">
        <v>254</v>
      </c>
      <c r="R43" s="11" t="s">
        <v>34</v>
      </c>
      <c r="S43" s="14" t="s">
        <v>97</v>
      </c>
      <c r="T43" s="15" t="s">
        <v>36</v>
      </c>
    </row>
    <row r="44" spans="1:20">
      <c r="A44" s="11">
        <f>=ROW()-1</f>
        <v>43</v>
      </c>
      <c r="B44" s="11" t="s">
        <v>255</v>
      </c>
      <c r="C44" s="11" t="s">
        <v>256</v>
      </c>
      <c r="D44" s="11" t="s">
        <v>257</v>
      </c>
      <c r="E44" s="11" t="s">
        <v>258</v>
      </c>
      <c r="F44" s="11" t="s">
        <v>25</v>
      </c>
      <c r="G44" s="11" t="s">
        <v>26</v>
      </c>
      <c r="H44" s="11" t="s">
        <v>53</v>
      </c>
      <c r="I44" s="11" t="s">
        <v>28</v>
      </c>
      <c r="J44" s="11" t="s">
        <v>29</v>
      </c>
      <c r="K44" s="11" t="s">
        <v>55</v>
      </c>
      <c r="L44" s="11" t="s">
        <v>56</v>
      </c>
      <c r="M44" s="12">
        <v>397</v>
      </c>
      <c r="N44" s="13">
        <v>44</v>
      </c>
      <c r="O44" s="11" t="s">
        <v>32</v>
      </c>
      <c r="P44" s="11" t="str">
        <f>=IF(AND(N44&gt;0,O44="在售"),"是","否")</f>
        <v>是</v>
      </c>
      <c r="Q44" s="15" t="s">
        <v>259</v>
      </c>
      <c r="R44" s="11" t="s">
        <v>34</v>
      </c>
      <c r="S44" s="14" t="s">
        <v>101</v>
      </c>
      <c r="T44" s="15" t="s">
        <v>36</v>
      </c>
    </row>
    <row r="45" spans="1:20">
      <c r="A45" s="11">
        <f>=ROW()-1</f>
        <v>44</v>
      </c>
      <c r="B45" s="11" t="s">
        <v>260</v>
      </c>
      <c r="C45" s="11" t="s">
        <v>261</v>
      </c>
      <c r="D45" s="11" t="s">
        <v>257</v>
      </c>
      <c r="E45" s="11" t="s">
        <v>228</v>
      </c>
      <c r="F45" s="11" t="s">
        <v>40</v>
      </c>
      <c r="G45" s="11" t="s">
        <v>41</v>
      </c>
      <c r="H45" s="11" t="s">
        <v>63</v>
      </c>
      <c r="I45" s="11" t="s">
        <v>43</v>
      </c>
      <c r="J45" s="11" t="s">
        <v>29</v>
      </c>
      <c r="K45" s="11" t="s">
        <v>65</v>
      </c>
      <c r="L45" s="11" t="s">
        <v>66</v>
      </c>
      <c r="M45" s="12">
        <v>434</v>
      </c>
      <c r="N45" s="13">
        <v>67</v>
      </c>
      <c r="O45" s="11" t="s">
        <v>32</v>
      </c>
      <c r="P45" s="11" t="str">
        <f>=IF(AND(N45&gt;0,O45="在售"),"是","否")</f>
        <v>是</v>
      </c>
      <c r="Q45" s="15" t="s">
        <v>262</v>
      </c>
      <c r="R45" s="11" t="s">
        <v>34</v>
      </c>
      <c r="S45" s="14" t="s">
        <v>106</v>
      </c>
      <c r="T45" s="15" t="s">
        <v>112</v>
      </c>
    </row>
    <row r="46" spans="1:20">
      <c r="A46" s="11">
        <f>=ROW()-1</f>
        <v>45</v>
      </c>
      <c r="B46" s="11" t="s">
        <v>263</v>
      </c>
      <c r="C46" s="11" t="s">
        <v>264</v>
      </c>
      <c r="D46" s="11" t="s">
        <v>257</v>
      </c>
      <c r="E46" s="11" t="s">
        <v>265</v>
      </c>
      <c r="F46" s="11" t="s">
        <v>51</v>
      </c>
      <c r="G46" s="11" t="s">
        <v>52</v>
      </c>
      <c r="H46" s="11" t="s">
        <v>74</v>
      </c>
      <c r="I46" s="11" t="s">
        <v>54</v>
      </c>
      <c r="J46" s="11" t="s">
        <v>29</v>
      </c>
      <c r="K46" s="11" t="s">
        <v>76</v>
      </c>
      <c r="L46" s="11" t="s">
        <v>31</v>
      </c>
      <c r="M46" s="12">
        <v>471</v>
      </c>
      <c r="N46" s="13">
        <v>90</v>
      </c>
      <c r="O46" s="11" t="s">
        <v>32</v>
      </c>
      <c r="P46" s="11" t="str">
        <f>=IF(AND(N46&gt;0,O46="在售"),"是","否")</f>
        <v>是</v>
      </c>
      <c r="Q46" s="15" t="s">
        <v>266</v>
      </c>
      <c r="R46" s="11" t="s">
        <v>34</v>
      </c>
      <c r="S46" s="14" t="s">
        <v>111</v>
      </c>
      <c r="T46" s="15" t="s">
        <v>36</v>
      </c>
    </row>
    <row r="47" spans="1:20">
      <c r="A47" s="11">
        <f>=ROW()-1</f>
        <v>46</v>
      </c>
      <c r="B47" s="11" t="s">
        <v>267</v>
      </c>
      <c r="C47" s="11" t="s">
        <v>268</v>
      </c>
      <c r="D47" s="11" t="s">
        <v>257</v>
      </c>
      <c r="E47" s="11" t="s">
        <v>250</v>
      </c>
      <c r="F47" s="11" t="s">
        <v>61</v>
      </c>
      <c r="G47" s="11" t="s">
        <v>62</v>
      </c>
      <c r="H47" s="11" t="s">
        <v>83</v>
      </c>
      <c r="I47" s="11" t="s">
        <v>64</v>
      </c>
      <c r="J47" s="11" t="s">
        <v>29</v>
      </c>
      <c r="K47" s="11" t="s">
        <v>30</v>
      </c>
      <c r="L47" s="11" t="s">
        <v>45</v>
      </c>
      <c r="M47" s="12">
        <v>87</v>
      </c>
      <c r="N47" s="13">
        <v>113</v>
      </c>
      <c r="O47" s="11" t="s">
        <v>32</v>
      </c>
      <c r="P47" s="11" t="str">
        <f>=IF(AND(N47&gt;0,O47="在售"),"是","否")</f>
        <v>是</v>
      </c>
      <c r="Q47" s="15" t="s">
        <v>269</v>
      </c>
      <c r="R47" s="11" t="s">
        <v>34</v>
      </c>
      <c r="S47" s="14" t="s">
        <v>117</v>
      </c>
      <c r="T47" s="15" t="s">
        <v>36</v>
      </c>
    </row>
    <row r="48" spans="1:20">
      <c r="A48" s="11">
        <f>=ROW()-1</f>
        <v>47</v>
      </c>
      <c r="B48" s="11" t="s">
        <v>270</v>
      </c>
      <c r="C48" s="11" t="s">
        <v>271</v>
      </c>
      <c r="D48" s="11" t="s">
        <v>257</v>
      </c>
      <c r="E48" s="11" t="s">
        <v>218</v>
      </c>
      <c r="F48" s="11" t="s">
        <v>72</v>
      </c>
      <c r="G48" s="11" t="s">
        <v>73</v>
      </c>
      <c r="H48" s="11" t="s">
        <v>89</v>
      </c>
      <c r="I48" s="11" t="s">
        <v>75</v>
      </c>
      <c r="J48" s="11" t="s">
        <v>29</v>
      </c>
      <c r="K48" s="11" t="s">
        <v>44</v>
      </c>
      <c r="L48" s="11" t="s">
        <v>56</v>
      </c>
      <c r="M48" s="12">
        <v>124</v>
      </c>
      <c r="N48" s="13">
        <v>136</v>
      </c>
      <c r="O48" s="11" t="s">
        <v>32</v>
      </c>
      <c r="P48" s="11" t="str">
        <f>=IF(AND(N48&gt;0,O48="在售"),"是","否")</f>
        <v>是</v>
      </c>
      <c r="Q48" s="15" t="s">
        <v>272</v>
      </c>
      <c r="R48" s="11" t="s">
        <v>34</v>
      </c>
      <c r="S48" s="14" t="s">
        <v>121</v>
      </c>
      <c r="T48" s="15" t="s">
        <v>36</v>
      </c>
    </row>
    <row r="49" spans="1:20">
      <c r="A49" s="11">
        <f>=ROW()-1</f>
        <v>48</v>
      </c>
      <c r="B49" s="11" t="s">
        <v>273</v>
      </c>
      <c r="C49" s="11" t="s">
        <v>274</v>
      </c>
      <c r="D49" s="11" t="s">
        <v>257</v>
      </c>
      <c r="E49" s="11" t="s">
        <v>275</v>
      </c>
      <c r="F49" s="11" t="s">
        <v>81</v>
      </c>
      <c r="G49" s="11" t="s">
        <v>82</v>
      </c>
      <c r="H49" s="11" t="s">
        <v>95</v>
      </c>
      <c r="I49" s="11" t="s">
        <v>84</v>
      </c>
      <c r="J49" s="11" t="s">
        <v>29</v>
      </c>
      <c r="K49" s="11" t="s">
        <v>55</v>
      </c>
      <c r="L49" s="11" t="s">
        <v>66</v>
      </c>
      <c r="M49" s="12">
        <v>161</v>
      </c>
      <c r="N49" s="13">
        <v>159</v>
      </c>
      <c r="O49" s="11" t="s">
        <v>32</v>
      </c>
      <c r="P49" s="11" t="str">
        <f>=IF(AND(N49&gt;0,O49="在售"),"是","否")</f>
        <v>是</v>
      </c>
      <c r="Q49" s="15" t="s">
        <v>276</v>
      </c>
      <c r="R49" s="11" t="s">
        <v>34</v>
      </c>
      <c r="S49" s="14" t="s">
        <v>125</v>
      </c>
      <c r="T49" s="15" t="s">
        <v>36</v>
      </c>
    </row>
    <row r="50" spans="1:20">
      <c r="A50" s="11">
        <f>=ROW()-1</f>
        <v>49</v>
      </c>
      <c r="B50" s="11" t="s">
        <v>277</v>
      </c>
      <c r="C50" s="11" t="s">
        <v>278</v>
      </c>
      <c r="D50" s="11" t="s">
        <v>257</v>
      </c>
      <c r="E50" s="11" t="s">
        <v>279</v>
      </c>
      <c r="F50" s="11" t="s">
        <v>25</v>
      </c>
      <c r="G50" s="11" t="s">
        <v>26</v>
      </c>
      <c r="H50" s="11" t="s">
        <v>27</v>
      </c>
      <c r="I50" s="11" t="s">
        <v>28</v>
      </c>
      <c r="J50" s="11" t="s">
        <v>29</v>
      </c>
      <c r="K50" s="11" t="s">
        <v>65</v>
      </c>
      <c r="L50" s="11" t="s">
        <v>31</v>
      </c>
      <c r="M50" s="12">
        <v>198</v>
      </c>
      <c r="N50" s="13">
        <v>22</v>
      </c>
      <c r="O50" s="11" t="s">
        <v>32</v>
      </c>
      <c r="P50" s="11" t="str">
        <f>=IF(AND(N50&gt;0,O50="在售"),"是","否")</f>
        <v>是</v>
      </c>
      <c r="Q50" s="15" t="s">
        <v>280</v>
      </c>
      <c r="R50" s="11" t="s">
        <v>34</v>
      </c>
      <c r="S50" s="14" t="s">
        <v>129</v>
      </c>
      <c r="T50" s="15" t="s">
        <v>36</v>
      </c>
    </row>
    <row r="51" spans="1:20">
      <c r="A51" s="11">
        <f>=ROW()-1</f>
        <v>50</v>
      </c>
      <c r="B51" s="11" t="s">
        <v>281</v>
      </c>
      <c r="C51" s="11" t="s">
        <v>282</v>
      </c>
      <c r="D51" s="11" t="s">
        <v>257</v>
      </c>
      <c r="E51" s="11" t="s">
        <v>283</v>
      </c>
      <c r="F51" s="11" t="s">
        <v>40</v>
      </c>
      <c r="G51" s="11" t="s">
        <v>41</v>
      </c>
      <c r="H51" s="11" t="s">
        <v>42</v>
      </c>
      <c r="I51" s="11" t="s">
        <v>43</v>
      </c>
      <c r="J51" s="11" t="s">
        <v>29</v>
      </c>
      <c r="K51" s="11" t="s">
        <v>76</v>
      </c>
      <c r="L51" s="11" t="s">
        <v>45</v>
      </c>
      <c r="M51" s="12">
        <v>235</v>
      </c>
      <c r="N51" s="13">
        <v>45</v>
      </c>
      <c r="O51" s="11" t="s">
        <v>32</v>
      </c>
      <c r="P51" s="11" t="str">
        <f>=IF(AND(N51&gt;0,O51="在售"),"是","否")</f>
        <v>是</v>
      </c>
      <c r="Q51" s="15" t="s">
        <v>284</v>
      </c>
      <c r="R51" s="11" t="s">
        <v>34</v>
      </c>
      <c r="S51" s="14" t="s">
        <v>134</v>
      </c>
      <c r="T51" s="15" t="s">
        <v>36</v>
      </c>
    </row>
    <row r="52" spans="1:20">
      <c r="A52" s="11">
        <f>=ROW()-1</f>
        <v>51</v>
      </c>
      <c r="B52" s="11" t="s">
        <v>285</v>
      </c>
      <c r="C52" s="11" t="s">
        <v>286</v>
      </c>
      <c r="D52" s="11" t="s">
        <v>257</v>
      </c>
      <c r="E52" s="11" t="s">
        <v>287</v>
      </c>
      <c r="F52" s="11" t="s">
        <v>51</v>
      </c>
      <c r="G52" s="11" t="s">
        <v>52</v>
      </c>
      <c r="H52" s="11" t="s">
        <v>53</v>
      </c>
      <c r="I52" s="11" t="s">
        <v>54</v>
      </c>
      <c r="J52" s="11" t="s">
        <v>288</v>
      </c>
      <c r="K52" s="11" t="s">
        <v>30</v>
      </c>
      <c r="L52" s="11" t="s">
        <v>56</v>
      </c>
      <c r="M52" s="12">
        <v>272</v>
      </c>
      <c r="N52" s="13">
        <v>68</v>
      </c>
      <c r="O52" s="11" t="s">
        <v>32</v>
      </c>
      <c r="P52" s="11" t="str">
        <f>=IF(AND(N52&gt;0,O52="在售"),"是","否")</f>
        <v>是</v>
      </c>
      <c r="Q52" s="15" t="s">
        <v>289</v>
      </c>
      <c r="R52" s="11" t="s">
        <v>34</v>
      </c>
      <c r="S52" s="14" t="s">
        <v>140</v>
      </c>
      <c r="T52" s="15" t="s">
        <v>36</v>
      </c>
    </row>
    <row r="53" spans="1:20">
      <c r="A53" s="11">
        <f>=ROW()-1</f>
        <v>52</v>
      </c>
      <c r="B53" s="11" t="s">
        <v>290</v>
      </c>
      <c r="C53" s="11" t="s">
        <v>291</v>
      </c>
      <c r="D53" s="11" t="s">
        <v>257</v>
      </c>
      <c r="E53" s="11" t="s">
        <v>292</v>
      </c>
      <c r="F53" s="11" t="s">
        <v>61</v>
      </c>
      <c r="G53" s="11" t="s">
        <v>62</v>
      </c>
      <c r="H53" s="11" t="s">
        <v>63</v>
      </c>
      <c r="I53" s="11" t="s">
        <v>64</v>
      </c>
      <c r="J53" s="11" t="s">
        <v>288</v>
      </c>
      <c r="K53" s="11" t="s">
        <v>44</v>
      </c>
      <c r="L53" s="11" t="s">
        <v>66</v>
      </c>
      <c r="M53" s="12">
        <v>309</v>
      </c>
      <c r="N53" s="13">
        <v>91</v>
      </c>
      <c r="O53" s="11" t="s">
        <v>138</v>
      </c>
      <c r="P53" s="11" t="str">
        <f>=IF(AND(N53&gt;0,O53="在售"),"是","否")</f>
        <v>否</v>
      </c>
      <c r="Q53" s="15" t="s">
        <v>293</v>
      </c>
      <c r="R53" s="11" t="s">
        <v>34</v>
      </c>
      <c r="S53" s="14" t="s">
        <v>145</v>
      </c>
      <c r="T53" s="15" t="s">
        <v>36</v>
      </c>
    </row>
    <row r="54" spans="1:20">
      <c r="A54" s="11">
        <f>=ROW()-1</f>
        <v>53</v>
      </c>
      <c r="B54" s="11" t="s">
        <v>294</v>
      </c>
      <c r="C54" s="11" t="s">
        <v>295</v>
      </c>
      <c r="D54" s="11" t="s">
        <v>296</v>
      </c>
      <c r="E54" s="11" t="s">
        <v>297</v>
      </c>
      <c r="F54" s="11" t="s">
        <v>72</v>
      </c>
      <c r="G54" s="11" t="s">
        <v>73</v>
      </c>
      <c r="H54" s="11" t="s">
        <v>74</v>
      </c>
      <c r="I54" s="11" t="s">
        <v>43</v>
      </c>
      <c r="J54" s="11" t="s">
        <v>288</v>
      </c>
      <c r="K54" s="11" t="s">
        <v>55</v>
      </c>
      <c r="L54" s="11" t="s">
        <v>31</v>
      </c>
      <c r="M54" s="12">
        <v>346</v>
      </c>
      <c r="N54" s="13">
        <v>114</v>
      </c>
      <c r="O54" s="11" t="s">
        <v>32</v>
      </c>
      <c r="P54" s="11" t="str">
        <f>=IF(AND(N54&gt;0,O54="在售"),"是","否")</f>
        <v>是</v>
      </c>
      <c r="Q54" s="15" t="s">
        <v>298</v>
      </c>
      <c r="R54" s="11" t="s">
        <v>34</v>
      </c>
      <c r="S54" s="14" t="s">
        <v>151</v>
      </c>
      <c r="T54" s="15" t="s">
        <v>36</v>
      </c>
    </row>
    <row r="55" spans="1:20">
      <c r="A55" s="11">
        <f>=ROW()-1</f>
        <v>54</v>
      </c>
      <c r="B55" s="11" t="s">
        <v>299</v>
      </c>
      <c r="C55" s="11" t="s">
        <v>300</v>
      </c>
      <c r="D55" s="11" t="s">
        <v>296</v>
      </c>
      <c r="E55" s="11" t="s">
        <v>301</v>
      </c>
      <c r="F55" s="11" t="s">
        <v>81</v>
      </c>
      <c r="G55" s="11" t="s">
        <v>82</v>
      </c>
      <c r="H55" s="11" t="s">
        <v>83</v>
      </c>
      <c r="I55" s="11" t="s">
        <v>28</v>
      </c>
      <c r="J55" s="11" t="s">
        <v>288</v>
      </c>
      <c r="K55" s="11" t="s">
        <v>65</v>
      </c>
      <c r="L55" s="11" t="s">
        <v>45</v>
      </c>
      <c r="M55" s="12">
        <v>383</v>
      </c>
      <c r="N55" s="13">
        <v>137</v>
      </c>
      <c r="O55" s="11" t="s">
        <v>32</v>
      </c>
      <c r="P55" s="11" t="str">
        <f>=IF(AND(N55&gt;0,O55="在售"),"是","否")</f>
        <v>是</v>
      </c>
      <c r="Q55" s="15" t="s">
        <v>302</v>
      </c>
      <c r="R55" s="11" t="s">
        <v>34</v>
      </c>
      <c r="S55" s="14" t="s">
        <v>156</v>
      </c>
      <c r="T55" s="15" t="s">
        <v>36</v>
      </c>
    </row>
    <row r="56" spans="1:20">
      <c r="A56" s="11">
        <f>=ROW()-1</f>
        <v>55</v>
      </c>
      <c r="B56" s="11" t="s">
        <v>303</v>
      </c>
      <c r="C56" s="11" t="s">
        <v>304</v>
      </c>
      <c r="D56" s="11" t="s">
        <v>296</v>
      </c>
      <c r="E56" s="11" t="s">
        <v>305</v>
      </c>
      <c r="F56" s="11" t="s">
        <v>25</v>
      </c>
      <c r="G56" s="11" t="s">
        <v>26</v>
      </c>
      <c r="H56" s="11" t="s">
        <v>89</v>
      </c>
      <c r="I56" s="11" t="s">
        <v>43</v>
      </c>
      <c r="J56" s="11" t="s">
        <v>288</v>
      </c>
      <c r="K56" s="11" t="s">
        <v>76</v>
      </c>
      <c r="L56" s="11" t="s">
        <v>56</v>
      </c>
      <c r="M56" s="12">
        <v>420</v>
      </c>
      <c r="N56" s="13">
        <v>160</v>
      </c>
      <c r="O56" s="11" t="s">
        <v>32</v>
      </c>
      <c r="P56" s="11" t="str">
        <f>=IF(AND(N56&gt;0,O56="在售"),"是","否")</f>
        <v>是</v>
      </c>
      <c r="Q56" s="15" t="s">
        <v>306</v>
      </c>
      <c r="R56" s="11" t="s">
        <v>34</v>
      </c>
      <c r="S56" s="14" t="s">
        <v>161</v>
      </c>
      <c r="T56" s="15" t="s">
        <v>112</v>
      </c>
    </row>
    <row r="57" spans="1:20">
      <c r="A57" s="11">
        <f>=ROW()-1</f>
        <v>56</v>
      </c>
      <c r="B57" s="11" t="s">
        <v>307</v>
      </c>
      <c r="C57" s="11" t="s">
        <v>308</v>
      </c>
      <c r="D57" s="11" t="s">
        <v>296</v>
      </c>
      <c r="E57" s="11" t="s">
        <v>309</v>
      </c>
      <c r="F57" s="11" t="s">
        <v>40</v>
      </c>
      <c r="G57" s="11" t="s">
        <v>41</v>
      </c>
      <c r="H57" s="11" t="s">
        <v>95</v>
      </c>
      <c r="I57" s="11" t="s">
        <v>28</v>
      </c>
      <c r="J57" s="11" t="s">
        <v>288</v>
      </c>
      <c r="K57" s="11" t="s">
        <v>30</v>
      </c>
      <c r="L57" s="11" t="s">
        <v>66</v>
      </c>
      <c r="M57" s="12">
        <v>457</v>
      </c>
      <c r="N57" s="13">
        <v>23</v>
      </c>
      <c r="O57" s="11" t="s">
        <v>32</v>
      </c>
      <c r="P57" s="11" t="str">
        <f>=IF(AND(N57&gt;0,O57="在售"),"是","否")</f>
        <v>是</v>
      </c>
      <c r="Q57" s="15" t="s">
        <v>310</v>
      </c>
      <c r="R57" s="11" t="s">
        <v>34</v>
      </c>
      <c r="S57" s="14" t="s">
        <v>166</v>
      </c>
      <c r="T57" s="15" t="s">
        <v>36</v>
      </c>
    </row>
    <row r="58" spans="1:20">
      <c r="A58" s="11">
        <f>=ROW()-1</f>
        <v>57</v>
      </c>
      <c r="B58" s="11" t="s">
        <v>311</v>
      </c>
      <c r="C58" s="11" t="s">
        <v>312</v>
      </c>
      <c r="D58" s="11" t="s">
        <v>296</v>
      </c>
      <c r="E58" s="11" t="s">
        <v>313</v>
      </c>
      <c r="F58" s="11" t="s">
        <v>51</v>
      </c>
      <c r="G58" s="11" t="s">
        <v>52</v>
      </c>
      <c r="H58" s="11" t="s">
        <v>27</v>
      </c>
      <c r="I58" s="11" t="s">
        <v>43</v>
      </c>
      <c r="J58" s="11" t="s">
        <v>288</v>
      </c>
      <c r="K58" s="11" t="s">
        <v>44</v>
      </c>
      <c r="L58" s="11" t="s">
        <v>31</v>
      </c>
      <c r="M58" s="12">
        <v>73</v>
      </c>
      <c r="N58" s="13">
        <v>46</v>
      </c>
      <c r="O58" s="11" t="s">
        <v>32</v>
      </c>
      <c r="P58" s="11" t="str">
        <f>=IF(AND(N58&gt;0,O58="在售"),"是","否")</f>
        <v>是</v>
      </c>
      <c r="Q58" s="15" t="s">
        <v>314</v>
      </c>
      <c r="R58" s="11" t="s">
        <v>34</v>
      </c>
      <c r="S58" s="14" t="s">
        <v>170</v>
      </c>
      <c r="T58" s="15" t="s">
        <v>36</v>
      </c>
    </row>
    <row r="59" spans="1:20">
      <c r="A59" s="11">
        <f>=ROW()-1</f>
        <v>58</v>
      </c>
      <c r="B59" s="11" t="s">
        <v>315</v>
      </c>
      <c r="C59" s="11" t="s">
        <v>316</v>
      </c>
      <c r="D59" s="11" t="s">
        <v>296</v>
      </c>
      <c r="E59" s="11" t="s">
        <v>317</v>
      </c>
      <c r="F59" s="11" t="s">
        <v>61</v>
      </c>
      <c r="G59" s="11" t="s">
        <v>62</v>
      </c>
      <c r="H59" s="11" t="s">
        <v>42</v>
      </c>
      <c r="I59" s="11" t="s">
        <v>28</v>
      </c>
      <c r="J59" s="11" t="s">
        <v>288</v>
      </c>
      <c r="K59" s="11" t="s">
        <v>55</v>
      </c>
      <c r="L59" s="11" t="s">
        <v>45</v>
      </c>
      <c r="M59" s="12">
        <v>110</v>
      </c>
      <c r="N59" s="13">
        <v>69</v>
      </c>
      <c r="O59" s="11" t="s">
        <v>32</v>
      </c>
      <c r="P59" s="11" t="str">
        <f>=IF(AND(N59&gt;0,O59="在售"),"是","否")</f>
        <v>是</v>
      </c>
      <c r="Q59" s="15" t="s">
        <v>318</v>
      </c>
      <c r="R59" s="11" t="s">
        <v>34</v>
      </c>
      <c r="S59" s="14" t="s">
        <v>175</v>
      </c>
      <c r="T59" s="15" t="s">
        <v>36</v>
      </c>
    </row>
    <row r="60" spans="1:20">
      <c r="A60" s="11">
        <f>=ROW()-1</f>
        <v>59</v>
      </c>
      <c r="B60" s="11" t="s">
        <v>319</v>
      </c>
      <c r="C60" s="11" t="s">
        <v>320</v>
      </c>
      <c r="D60" s="11" t="s">
        <v>296</v>
      </c>
      <c r="E60" s="11" t="s">
        <v>321</v>
      </c>
      <c r="F60" s="11" t="s">
        <v>72</v>
      </c>
      <c r="G60" s="11" t="s">
        <v>73</v>
      </c>
      <c r="H60" s="11" t="s">
        <v>53</v>
      </c>
      <c r="I60" s="11" t="s">
        <v>43</v>
      </c>
      <c r="J60" s="11" t="s">
        <v>288</v>
      </c>
      <c r="K60" s="11" t="s">
        <v>65</v>
      </c>
      <c r="L60" s="11" t="s">
        <v>56</v>
      </c>
      <c r="M60" s="12">
        <v>147</v>
      </c>
      <c r="N60" s="13">
        <v>92</v>
      </c>
      <c r="O60" s="11" t="s">
        <v>32</v>
      </c>
      <c r="P60" s="11" t="str">
        <f>=IF(AND(N60&gt;0,O60="在售"),"是","否")</f>
        <v>是</v>
      </c>
      <c r="Q60" s="15" t="s">
        <v>322</v>
      </c>
      <c r="R60" s="11" t="s">
        <v>34</v>
      </c>
      <c r="S60" s="14" t="s">
        <v>179</v>
      </c>
      <c r="T60" s="15" t="s">
        <v>36</v>
      </c>
    </row>
    <row r="61" spans="1:20">
      <c r="A61" s="11">
        <f>=ROW()-1</f>
        <v>60</v>
      </c>
      <c r="B61" s="11" t="s">
        <v>323</v>
      </c>
      <c r="C61" s="11" t="s">
        <v>324</v>
      </c>
      <c r="D61" s="11" t="s">
        <v>296</v>
      </c>
      <c r="E61" s="11" t="s">
        <v>325</v>
      </c>
      <c r="F61" s="11" t="s">
        <v>81</v>
      </c>
      <c r="G61" s="11" t="s">
        <v>82</v>
      </c>
      <c r="H61" s="11" t="s">
        <v>63</v>
      </c>
      <c r="I61" s="11" t="s">
        <v>28</v>
      </c>
      <c r="J61" s="11" t="s">
        <v>288</v>
      </c>
      <c r="K61" s="11" t="s">
        <v>76</v>
      </c>
      <c r="L61" s="11" t="s">
        <v>66</v>
      </c>
      <c r="M61" s="12">
        <v>184</v>
      </c>
      <c r="N61" s="13">
        <v>115</v>
      </c>
      <c r="O61" s="11" t="s">
        <v>32</v>
      </c>
      <c r="P61" s="11" t="str">
        <f>=IF(AND(N61&gt;0,O61="在售"),"是","否")</f>
        <v>是</v>
      </c>
      <c r="Q61" s="15" t="s">
        <v>326</v>
      </c>
      <c r="R61" s="11" t="s">
        <v>34</v>
      </c>
      <c r="S61" s="14" t="s">
        <v>184</v>
      </c>
      <c r="T61" s="15" t="s">
        <v>36</v>
      </c>
    </row>
    <row r="62" spans="1:20">
      <c r="A62" s="11">
        <f>=ROW()-1</f>
        <v>61</v>
      </c>
      <c r="B62" s="11" t="s">
        <v>327</v>
      </c>
      <c r="C62" s="11" t="s">
        <v>328</v>
      </c>
      <c r="D62" s="11" t="s">
        <v>296</v>
      </c>
      <c r="E62" s="11" t="s">
        <v>329</v>
      </c>
      <c r="F62" s="11" t="s">
        <v>25</v>
      </c>
      <c r="G62" s="11" t="s">
        <v>26</v>
      </c>
      <c r="H62" s="11" t="s">
        <v>74</v>
      </c>
      <c r="I62" s="11" t="s">
        <v>43</v>
      </c>
      <c r="J62" s="11" t="s">
        <v>288</v>
      </c>
      <c r="K62" s="11" t="s">
        <v>30</v>
      </c>
      <c r="L62" s="11" t="s">
        <v>31</v>
      </c>
      <c r="M62" s="12">
        <v>221</v>
      </c>
      <c r="N62" s="13">
        <v>138</v>
      </c>
      <c r="O62" s="11" t="s">
        <v>32</v>
      </c>
      <c r="P62" s="11" t="str">
        <f>=IF(AND(N62&gt;0,O62="在售"),"是","否")</f>
        <v>是</v>
      </c>
      <c r="Q62" s="15" t="s">
        <v>330</v>
      </c>
      <c r="R62" s="11" t="s">
        <v>34</v>
      </c>
      <c r="S62" s="14" t="s">
        <v>189</v>
      </c>
      <c r="T62" s="15" t="s">
        <v>36</v>
      </c>
    </row>
    <row r="63" spans="1:20">
      <c r="A63" s="11">
        <f>=ROW()-1</f>
        <v>62</v>
      </c>
      <c r="B63" s="11" t="s">
        <v>331</v>
      </c>
      <c r="C63" s="11" t="s">
        <v>332</v>
      </c>
      <c r="D63" s="11" t="s">
        <v>296</v>
      </c>
      <c r="E63" s="11" t="s">
        <v>333</v>
      </c>
      <c r="F63" s="11" t="s">
        <v>40</v>
      </c>
      <c r="G63" s="11" t="s">
        <v>41</v>
      </c>
      <c r="H63" s="11" t="s">
        <v>83</v>
      </c>
      <c r="I63" s="11" t="s">
        <v>28</v>
      </c>
      <c r="J63" s="11" t="s">
        <v>288</v>
      </c>
      <c r="K63" s="11" t="s">
        <v>44</v>
      </c>
      <c r="L63" s="11" t="s">
        <v>45</v>
      </c>
      <c r="M63" s="12">
        <v>258</v>
      </c>
      <c r="N63" s="13">
        <v>161</v>
      </c>
      <c r="O63" s="11" t="s">
        <v>32</v>
      </c>
      <c r="P63" s="11" t="str">
        <f>=IF(AND(N63&gt;0,O63="在售"),"是","否")</f>
        <v>是</v>
      </c>
      <c r="Q63" s="15" t="s">
        <v>334</v>
      </c>
      <c r="R63" s="11" t="s">
        <v>34</v>
      </c>
      <c r="S63" s="14" t="s">
        <v>194</v>
      </c>
      <c r="T63" s="15" t="s">
        <v>36</v>
      </c>
    </row>
    <row r="64" spans="1:20">
      <c r="A64" s="11">
        <f>=ROW()-1</f>
        <v>63</v>
      </c>
      <c r="B64" s="11" t="s">
        <v>335</v>
      </c>
      <c r="C64" s="11" t="s">
        <v>336</v>
      </c>
      <c r="D64" s="11" t="s">
        <v>337</v>
      </c>
      <c r="E64" s="11" t="s">
        <v>338</v>
      </c>
      <c r="F64" s="11" t="s">
        <v>51</v>
      </c>
      <c r="G64" s="11" t="s">
        <v>52</v>
      </c>
      <c r="H64" s="11" t="s">
        <v>89</v>
      </c>
      <c r="I64" s="11" t="s">
        <v>28</v>
      </c>
      <c r="J64" s="11" t="s">
        <v>288</v>
      </c>
      <c r="K64" s="11" t="s">
        <v>55</v>
      </c>
      <c r="L64" s="11" t="s">
        <v>56</v>
      </c>
      <c r="M64" s="12">
        <v>295</v>
      </c>
      <c r="N64" s="13">
        <v>24</v>
      </c>
      <c r="O64" s="11" t="s">
        <v>32</v>
      </c>
      <c r="P64" s="11" t="str">
        <f>=IF(AND(N64&gt;0,O64="在售"),"是","否")</f>
        <v>是</v>
      </c>
      <c r="Q64" s="15" t="s">
        <v>339</v>
      </c>
      <c r="R64" s="11" t="s">
        <v>34</v>
      </c>
      <c r="S64" s="14" t="s">
        <v>199</v>
      </c>
      <c r="T64" s="15" t="s">
        <v>36</v>
      </c>
    </row>
    <row r="65" spans="1:20">
      <c r="A65" s="11">
        <f>=ROW()-1</f>
        <v>64</v>
      </c>
      <c r="B65" s="11" t="s">
        <v>340</v>
      </c>
      <c r="C65" s="11" t="s">
        <v>341</v>
      </c>
      <c r="D65" s="11" t="s">
        <v>337</v>
      </c>
      <c r="E65" s="11" t="s">
        <v>342</v>
      </c>
      <c r="F65" s="11" t="s">
        <v>61</v>
      </c>
      <c r="G65" s="11" t="s">
        <v>62</v>
      </c>
      <c r="H65" s="11" t="s">
        <v>95</v>
      </c>
      <c r="I65" s="11" t="s">
        <v>28</v>
      </c>
      <c r="J65" s="11" t="s">
        <v>288</v>
      </c>
      <c r="K65" s="11" t="s">
        <v>65</v>
      </c>
      <c r="L65" s="11" t="s">
        <v>66</v>
      </c>
      <c r="M65" s="12">
        <v>332</v>
      </c>
      <c r="N65" s="13">
        <v>47</v>
      </c>
      <c r="O65" s="11" t="s">
        <v>32</v>
      </c>
      <c r="P65" s="11" t="str">
        <f>=IF(AND(N65&gt;0,O65="在售"),"是","否")</f>
        <v>是</v>
      </c>
      <c r="Q65" s="15" t="s">
        <v>343</v>
      </c>
      <c r="R65" s="11" t="s">
        <v>34</v>
      </c>
      <c r="S65" s="14" t="s">
        <v>204</v>
      </c>
      <c r="T65" s="15" t="s">
        <v>36</v>
      </c>
    </row>
    <row r="66" spans="1:20">
      <c r="A66" s="11">
        <f>=ROW()-1</f>
        <v>65</v>
      </c>
      <c r="B66" s="11" t="s">
        <v>344</v>
      </c>
      <c r="C66" s="11" t="s">
        <v>345</v>
      </c>
      <c r="D66" s="11" t="s">
        <v>337</v>
      </c>
      <c r="E66" s="11" t="s">
        <v>346</v>
      </c>
      <c r="F66" s="11" t="s">
        <v>72</v>
      </c>
      <c r="G66" s="11" t="s">
        <v>73</v>
      </c>
      <c r="H66" s="11" t="s">
        <v>27</v>
      </c>
      <c r="I66" s="11" t="s">
        <v>28</v>
      </c>
      <c r="J66" s="11" t="s">
        <v>288</v>
      </c>
      <c r="K66" s="11" t="s">
        <v>76</v>
      </c>
      <c r="L66" s="11" t="s">
        <v>31</v>
      </c>
      <c r="M66" s="12">
        <v>369</v>
      </c>
      <c r="N66" s="13">
        <v>70</v>
      </c>
      <c r="O66" s="11" t="s">
        <v>32</v>
      </c>
      <c r="P66" s="11" t="str">
        <f>=IF(AND(N66&gt;0,O66="在售"),"是","否")</f>
        <v>是</v>
      </c>
      <c r="Q66" s="15" t="s">
        <v>347</v>
      </c>
      <c r="R66" s="11" t="s">
        <v>34</v>
      </c>
      <c r="S66" s="14" t="s">
        <v>209</v>
      </c>
      <c r="T66" s="15" t="s">
        <v>36</v>
      </c>
    </row>
    <row r="67" spans="1:20">
      <c r="A67" s="11">
        <f>=ROW()-1</f>
        <v>66</v>
      </c>
      <c r="B67" s="11" t="s">
        <v>348</v>
      </c>
      <c r="C67" s="11" t="s">
        <v>349</v>
      </c>
      <c r="D67" s="11" t="s">
        <v>337</v>
      </c>
      <c r="E67" s="11" t="s">
        <v>350</v>
      </c>
      <c r="F67" s="11" t="s">
        <v>81</v>
      </c>
      <c r="G67" s="11" t="s">
        <v>82</v>
      </c>
      <c r="H67" s="11" t="s">
        <v>42</v>
      </c>
      <c r="I67" s="11" t="s">
        <v>28</v>
      </c>
      <c r="J67" s="11" t="s">
        <v>288</v>
      </c>
      <c r="K67" s="11" t="s">
        <v>30</v>
      </c>
      <c r="L67" s="11" t="s">
        <v>45</v>
      </c>
      <c r="M67" s="12">
        <v>406</v>
      </c>
      <c r="N67" s="13">
        <v>93</v>
      </c>
      <c r="O67" s="11" t="s">
        <v>32</v>
      </c>
      <c r="P67" s="11" t="str">
        <f>=IF(AND(N67&gt;0,O67="在售"),"是","否")</f>
        <v>是</v>
      </c>
      <c r="Q67" s="15" t="s">
        <v>351</v>
      </c>
      <c r="R67" s="11" t="s">
        <v>34</v>
      </c>
      <c r="S67" s="14" t="s">
        <v>214</v>
      </c>
      <c r="T67" s="15" t="s">
        <v>112</v>
      </c>
    </row>
    <row r="68" spans="1:20">
      <c r="A68" s="11">
        <f>=ROW()-1</f>
        <v>67</v>
      </c>
      <c r="B68" s="11" t="s">
        <v>352</v>
      </c>
      <c r="C68" s="11" t="s">
        <v>353</v>
      </c>
      <c r="D68" s="11" t="s">
        <v>337</v>
      </c>
      <c r="E68" s="11" t="s">
        <v>354</v>
      </c>
      <c r="F68" s="11" t="s">
        <v>25</v>
      </c>
      <c r="G68" s="11" t="s">
        <v>26</v>
      </c>
      <c r="H68" s="11" t="s">
        <v>53</v>
      </c>
      <c r="I68" s="11" t="s">
        <v>28</v>
      </c>
      <c r="J68" s="11" t="s">
        <v>288</v>
      </c>
      <c r="K68" s="11" t="s">
        <v>44</v>
      </c>
      <c r="L68" s="11" t="s">
        <v>56</v>
      </c>
      <c r="M68" s="12">
        <v>443</v>
      </c>
      <c r="N68" s="13">
        <v>116</v>
      </c>
      <c r="O68" s="11" t="s">
        <v>32</v>
      </c>
      <c r="P68" s="11" t="str">
        <f>=IF(AND(N68&gt;0,O68="在售"),"是","否")</f>
        <v>是</v>
      </c>
      <c r="Q68" s="15" t="s">
        <v>355</v>
      </c>
      <c r="R68" s="11" t="s">
        <v>34</v>
      </c>
      <c r="S68" s="14" t="s">
        <v>220</v>
      </c>
      <c r="T68" s="15" t="s">
        <v>36</v>
      </c>
    </row>
    <row r="69" spans="1:20">
      <c r="A69" s="11">
        <f>=ROW()-1</f>
        <v>68</v>
      </c>
      <c r="B69" s="11" t="s">
        <v>356</v>
      </c>
      <c r="C69" s="11" t="s">
        <v>357</v>
      </c>
      <c r="D69" s="11" t="s">
        <v>337</v>
      </c>
      <c r="E69" s="11" t="s">
        <v>358</v>
      </c>
      <c r="F69" s="11" t="s">
        <v>40</v>
      </c>
      <c r="G69" s="11" t="s">
        <v>41</v>
      </c>
      <c r="H69" s="11" t="s">
        <v>63</v>
      </c>
      <c r="I69" s="11" t="s">
        <v>28</v>
      </c>
      <c r="J69" s="11" t="s">
        <v>288</v>
      </c>
      <c r="K69" s="11" t="s">
        <v>55</v>
      </c>
      <c r="L69" s="11" t="s">
        <v>66</v>
      </c>
      <c r="M69" s="12">
        <v>480</v>
      </c>
      <c r="N69" s="13">
        <v>139</v>
      </c>
      <c r="O69" s="11" t="s">
        <v>32</v>
      </c>
      <c r="P69" s="11" t="str">
        <f>=IF(AND(N69&gt;0,O69="在售"),"是","否")</f>
        <v>是</v>
      </c>
      <c r="Q69" s="15" t="s">
        <v>359</v>
      </c>
      <c r="R69" s="11" t="s">
        <v>34</v>
      </c>
      <c r="S69" s="14" t="s">
        <v>225</v>
      </c>
      <c r="T69" s="15" t="s">
        <v>36</v>
      </c>
    </row>
    <row r="70" spans="1:20">
      <c r="A70" s="11">
        <f>=ROW()-1</f>
        <v>69</v>
      </c>
      <c r="B70" s="11" t="s">
        <v>360</v>
      </c>
      <c r="C70" s="11" t="s">
        <v>361</v>
      </c>
      <c r="D70" s="11" t="s">
        <v>337</v>
      </c>
      <c r="E70" s="11" t="s">
        <v>362</v>
      </c>
      <c r="F70" s="11" t="s">
        <v>51</v>
      </c>
      <c r="G70" s="11" t="s">
        <v>52</v>
      </c>
      <c r="H70" s="11" t="s">
        <v>74</v>
      </c>
      <c r="I70" s="11" t="s">
        <v>28</v>
      </c>
      <c r="J70" s="11" t="s">
        <v>288</v>
      </c>
      <c r="K70" s="11" t="s">
        <v>65</v>
      </c>
      <c r="L70" s="11" t="s">
        <v>31</v>
      </c>
      <c r="M70" s="12">
        <v>96</v>
      </c>
      <c r="N70" s="13">
        <v>162</v>
      </c>
      <c r="O70" s="11" t="s">
        <v>138</v>
      </c>
      <c r="P70" s="11" t="str">
        <f>=IF(AND(N70&gt;0,O70="在售"),"是","否")</f>
        <v>否</v>
      </c>
      <c r="Q70" s="15" t="s">
        <v>363</v>
      </c>
      <c r="R70" s="11" t="s">
        <v>34</v>
      </c>
      <c r="S70" s="14" t="s">
        <v>35</v>
      </c>
      <c r="T70" s="15" t="s">
        <v>36</v>
      </c>
    </row>
    <row r="71" spans="1:20">
      <c r="A71" s="11">
        <f>=ROW()-1</f>
        <v>70</v>
      </c>
      <c r="B71" s="11" t="s">
        <v>364</v>
      </c>
      <c r="C71" s="11" t="s">
        <v>365</v>
      </c>
      <c r="D71" s="11" t="s">
        <v>337</v>
      </c>
      <c r="E71" s="11" t="s">
        <v>354</v>
      </c>
      <c r="F71" s="11" t="s">
        <v>61</v>
      </c>
      <c r="G71" s="11" t="s">
        <v>62</v>
      </c>
      <c r="H71" s="11" t="s">
        <v>83</v>
      </c>
      <c r="I71" s="11" t="s">
        <v>28</v>
      </c>
      <c r="J71" s="11" t="s">
        <v>288</v>
      </c>
      <c r="K71" s="11" t="s">
        <v>76</v>
      </c>
      <c r="L71" s="11" t="s">
        <v>45</v>
      </c>
      <c r="M71" s="12">
        <v>499</v>
      </c>
      <c r="N71" s="13">
        <v>180</v>
      </c>
      <c r="O71" s="11" t="s">
        <v>32</v>
      </c>
      <c r="P71" s="11" t="str">
        <f>=IF(AND(N71&gt;0,O71="在售"),"是","否")</f>
        <v>是</v>
      </c>
      <c r="Q71" s="15" t="s">
        <v>366</v>
      </c>
      <c r="R71" s="11" t="s">
        <v>34</v>
      </c>
      <c r="S71" s="14" t="s">
        <v>47</v>
      </c>
      <c r="T71" s="15" t="s">
        <v>36</v>
      </c>
    </row>
  </sheetData>
  <autoFilter ref="B1:B71"/>
  <conditionalFormatting sqref="P2:P71">
    <cfRule type="cellIs" dxfId="0" priority="1" operator="equal">
      <formula>"否"</formula>
      <formula>"否"</formula>
    </cfRule>
  </conditionalFormatting>
  <conditionalFormatting sqref="P2:P71">
    <cfRule type="cellIs" dxfId="1" priority="2" operator="equal">
      <formula>"是"</formula>
      <formula>"是"</formula>
    </cfRule>
  </conditionalFormatting>
  <conditionalFormatting sqref="O2:O71">
    <cfRule type="cellIs" dxfId="2" priority="3" operator="equal">
      <formula>"下架"</formula>
      <formula>"下架"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6"/>
  <sheetViews>
    <sheetView showGridLines="1" workbookViewId="0">
      <pane ySplit="1" topLeftCell="A2" state="frozen"/>
    </sheetView>
  </sheetViews>
  <sheetFormatPr baseColWidth="8" defaultRowHeight="15"/>
  <cols>
    <col min="1" max="1" width="7.67188" customWidth="1"/>
    <col min="2" max="4" width="34.6719" customWidth="1"/>
  </cols>
  <sheetData>
    <row r="1" spans="1:4" ht="21" customHeight="1">
      <c r="A1" s="9" t="s">
        <v>367</v>
      </c>
      <c r="B1" s="9" t="s">
        <v>368</v>
      </c>
      <c r="C1" s="9" t="s">
        <v>369</v>
      </c>
      <c r="D1" s="9" t="s">
        <v>370</v>
      </c>
    </row>
    <row r="2" spans="1:4">
      <c r="A2" s="11">
        <v>1</v>
      </c>
      <c r="B2" s="15" t="s">
        <v>371</v>
      </c>
      <c r="C2" s="15" t="s">
        <v>372</v>
      </c>
      <c r="D2" s="15" t="s">
        <v>373</v>
      </c>
    </row>
    <row r="3" spans="1:4">
      <c r="A3" s="11">
        <v>2</v>
      </c>
      <c r="B3" s="15" t="s">
        <v>374</v>
      </c>
      <c r="C3" s="15" t="s">
        <v>375</v>
      </c>
      <c r="D3" s="15" t="s">
        <v>376</v>
      </c>
    </row>
    <row r="4" spans="1:4">
      <c r="A4" s="11">
        <v>3</v>
      </c>
      <c r="B4" s="15" t="s">
        <v>377</v>
      </c>
      <c r="C4" s="15" t="s">
        <v>378</v>
      </c>
      <c r="D4" s="15" t="s">
        <v>379</v>
      </c>
    </row>
    <row r="5" spans="1:4">
      <c r="A5" s="11">
        <v>4</v>
      </c>
      <c r="B5" s="15" t="s">
        <v>380</v>
      </c>
      <c r="C5" s="15" t="s">
        <v>381</v>
      </c>
      <c r="D5" s="15" t="s">
        <v>382</v>
      </c>
    </row>
    <row r="6" spans="1:4">
      <c r="A6" s="11">
        <v>5</v>
      </c>
      <c r="B6" s="15" t="s">
        <v>383</v>
      </c>
      <c r="C6" s="15" t="s">
        <v>384</v>
      </c>
      <c r="D6" s="15" t="s">
        <v>385</v>
      </c>
    </row>
  </sheetData>
  <autoFilter ref="A1:A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20"/>
  <sheetViews>
    <sheetView showGridLines="1" workbookViewId="0">
      <pane ySplit="1" topLeftCell="A2" state="frozen"/>
    </sheetView>
  </sheetViews>
  <sheetFormatPr baseColWidth="8" defaultRowHeight="15"/>
  <sheetData>
    <row r="1" spans="1:4">
      <c r="A1" s="9" t="s">
        <v>386</v>
      </c>
      <c r="B1" s="9" t="s">
        <v>387</v>
      </c>
      <c r="C1" s="9" t="s">
        <v>388</v>
      </c>
      <c r="D1" s="9" t="s">
        <v>389</v>
      </c>
    </row>
    <row r="2" spans="1:4">
      <c r="A2" s="11" t="s">
        <v>2</v>
      </c>
      <c r="B2" s="15" t="s">
        <v>390</v>
      </c>
      <c r="C2" s="15" t="s">
        <v>391</v>
      </c>
      <c r="D2" s="11" t="s">
        <v>392</v>
      </c>
    </row>
    <row r="3" spans="1:4">
      <c r="A3" s="11" t="s">
        <v>3</v>
      </c>
      <c r="B3" s="15" t="s">
        <v>393</v>
      </c>
      <c r="C3" s="15" t="s">
        <v>394</v>
      </c>
      <c r="D3" s="11" t="s">
        <v>392</v>
      </c>
    </row>
    <row r="4" spans="1:4">
      <c r="A4" s="11" t="s">
        <v>4</v>
      </c>
      <c r="B4" s="15" t="s">
        <v>395</v>
      </c>
      <c r="C4" s="15" t="s">
        <v>396</v>
      </c>
      <c r="D4" s="11" t="s">
        <v>392</v>
      </c>
    </row>
    <row r="5" spans="1:4">
      <c r="A5" s="11" t="s">
        <v>5</v>
      </c>
      <c r="B5" s="15" t="s">
        <v>397</v>
      </c>
      <c r="C5" s="15" t="s">
        <v>398</v>
      </c>
      <c r="D5" s="11" t="s">
        <v>399</v>
      </c>
    </row>
    <row r="6" spans="1:4">
      <c r="A6" s="11" t="s">
        <v>6</v>
      </c>
      <c r="B6" s="15" t="s">
        <v>400</v>
      </c>
      <c r="C6" s="15" t="s">
        <v>401</v>
      </c>
      <c r="D6" s="11" t="s">
        <v>392</v>
      </c>
    </row>
    <row r="7" spans="1:4">
      <c r="A7" s="11" t="s">
        <v>7</v>
      </c>
      <c r="B7" s="15" t="s">
        <v>402</v>
      </c>
      <c r="C7" s="15" t="s">
        <v>403</v>
      </c>
      <c r="D7" s="11" t="s">
        <v>392</v>
      </c>
    </row>
    <row r="8" spans="1:4">
      <c r="A8" s="11" t="s">
        <v>8</v>
      </c>
      <c r="B8" s="15" t="s">
        <v>404</v>
      </c>
      <c r="C8" s="15" t="s">
        <v>405</v>
      </c>
      <c r="D8" s="11" t="s">
        <v>399</v>
      </c>
    </row>
    <row r="9" spans="1:4">
      <c r="A9" s="11" t="s">
        <v>9</v>
      </c>
      <c r="B9" s="15" t="s">
        <v>406</v>
      </c>
      <c r="C9" s="15" t="s">
        <v>407</v>
      </c>
      <c r="D9" s="11" t="s">
        <v>399</v>
      </c>
    </row>
    <row r="10" spans="1:4">
      <c r="A10" s="11" t="s">
        <v>10</v>
      </c>
      <c r="B10" s="15" t="s">
        <v>408</v>
      </c>
      <c r="C10" s="15" t="s">
        <v>409</v>
      </c>
      <c r="D10" s="11" t="s">
        <v>399</v>
      </c>
    </row>
    <row r="11" spans="1:4">
      <c r="A11" s="11" t="s">
        <v>11</v>
      </c>
      <c r="B11" s="15" t="s">
        <v>410</v>
      </c>
      <c r="C11" s="15" t="s">
        <v>411</v>
      </c>
      <c r="D11" s="11" t="s">
        <v>392</v>
      </c>
    </row>
    <row r="12" spans="1:4">
      <c r="A12" s="11" t="s">
        <v>12</v>
      </c>
      <c r="B12" s="15" t="s">
        <v>412</v>
      </c>
      <c r="C12" s="15" t="s">
        <v>413</v>
      </c>
      <c r="D12" s="11" t="s">
        <v>399</v>
      </c>
    </row>
    <row r="13" spans="1:4">
      <c r="A13" s="11" t="s">
        <v>13</v>
      </c>
      <c r="B13" s="15" t="s">
        <v>414</v>
      </c>
      <c r="C13" s="15" t="s">
        <v>415</v>
      </c>
      <c r="D13" s="11" t="s">
        <v>392</v>
      </c>
    </row>
    <row r="14" spans="1:4">
      <c r="A14" s="11" t="s">
        <v>14</v>
      </c>
      <c r="B14" s="15" t="s">
        <v>416</v>
      </c>
      <c r="C14" s="15" t="s">
        <v>417</v>
      </c>
      <c r="D14" s="11" t="s">
        <v>392</v>
      </c>
    </row>
    <row r="15" spans="1:4">
      <c r="A15" s="11" t="s">
        <v>15</v>
      </c>
      <c r="B15" s="15" t="s">
        <v>418</v>
      </c>
      <c r="C15" s="15" t="s">
        <v>419</v>
      </c>
      <c r="D15" s="11" t="s">
        <v>392</v>
      </c>
    </row>
    <row r="16" spans="1:4">
      <c r="A16" s="11" t="s">
        <v>16</v>
      </c>
      <c r="B16" s="15" t="s">
        <v>420</v>
      </c>
      <c r="C16" s="15" t="s">
        <v>421</v>
      </c>
      <c r="D16" s="11" t="s">
        <v>399</v>
      </c>
    </row>
    <row r="17" spans="1:4">
      <c r="A17" s="11" t="s">
        <v>17</v>
      </c>
      <c r="B17" s="15" t="s">
        <v>422</v>
      </c>
      <c r="C17" s="15" t="s">
        <v>423</v>
      </c>
      <c r="D17" s="11" t="s">
        <v>399</v>
      </c>
    </row>
    <row r="18" spans="1:4">
      <c r="A18" s="11" t="s">
        <v>18</v>
      </c>
      <c r="B18" s="15" t="s">
        <v>424</v>
      </c>
      <c r="C18" s="15" t="s">
        <v>425</v>
      </c>
      <c r="D18" s="11" t="s">
        <v>399</v>
      </c>
    </row>
    <row r="19" spans="1:4">
      <c r="A19" s="11" t="s">
        <v>19</v>
      </c>
      <c r="B19" s="15" t="s">
        <v>426</v>
      </c>
      <c r="C19" s="15" t="s">
        <v>427</v>
      </c>
      <c r="D19" s="11" t="s">
        <v>392</v>
      </c>
    </row>
    <row r="20" spans="1:4">
      <c r="A20" s="11" t="s">
        <v>20</v>
      </c>
      <c r="B20" s="15" t="s">
        <v>428</v>
      </c>
      <c r="C20" s="15" t="s">
        <v>429</v>
      </c>
      <c r="D20" s="11" t="s">
        <v>399</v>
      </c>
    </row>
  </sheetData>
  <autoFilter ref="A1:A20"/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2026-08-27T16:38:39Z</dcterms:created>
  <dcterms:modified xsi:type="dcterms:W3CDTF">2026-08-27T16:38:39Z</dcterms:modified>
</cp:coreProperties>
</file>